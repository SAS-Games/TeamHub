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flowHub\config\"/>
    </mc:Choice>
  </mc:AlternateContent>
  <xr:revisionPtr revIDLastSave="0" documentId="13_ncr:1_{C53B4DCF-1860-4BD1-8877-1A37E4A72FFF}" xr6:coauthVersionLast="47" xr6:coauthVersionMax="47" xr10:uidLastSave="{00000000-0000-0000-0000-000000000000}"/>
  <bookViews>
    <workbookView xWindow="-110" yWindow="-110" windowWidth="25820" windowHeight="13900" tabRatio="642" activeTab="1" xr2:uid="{00000000-000D-0000-FFFF-FFFF00000000}"/>
  </bookViews>
  <sheets>
    <sheet name="Milestone Tracker – IHP" sheetId="3" r:id="rId1"/>
    <sheet name="Milestone Tracker – MENA" sheetId="4" r:id="rId2"/>
    <sheet name="Payment Engine" sheetId="9" state="hidden" r:id="rId3"/>
  </sheets>
  <definedNames>
    <definedName name="_xlnm._FilterDatabase" localSheetId="0" hidden="1">'Milestone Tracker – IHP'!$A$3:$I$73</definedName>
    <definedName name="_xlnm._FilterDatabase" localSheetId="1" hidden="1">'Milestone Tracker – MENA'!$A$3:$I$42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15" i="9" l="1"/>
  <c r="I515" i="9"/>
  <c r="H515" i="9"/>
  <c r="G515" i="9"/>
  <c r="F515" i="9"/>
  <c r="E515" i="9"/>
  <c r="K515" i="9" s="1"/>
  <c r="J514" i="9"/>
  <c r="I514" i="9"/>
  <c r="H514" i="9"/>
  <c r="G514" i="9"/>
  <c r="F514" i="9"/>
  <c r="E514" i="9"/>
  <c r="K514" i="9" s="1"/>
  <c r="J513" i="9"/>
  <c r="I513" i="9"/>
  <c r="H513" i="9"/>
  <c r="G513" i="9"/>
  <c r="F513" i="9"/>
  <c r="E513" i="9"/>
  <c r="K513" i="9" s="1"/>
  <c r="J512" i="9"/>
  <c r="I512" i="9"/>
  <c r="H512" i="9"/>
  <c r="G512" i="9"/>
  <c r="F512" i="9"/>
  <c r="E512" i="9"/>
  <c r="K512" i="9" s="1"/>
  <c r="J511" i="9"/>
  <c r="I511" i="9"/>
  <c r="H511" i="9"/>
  <c r="G511" i="9"/>
  <c r="F511" i="9"/>
  <c r="E511" i="9"/>
  <c r="K511" i="9" s="1"/>
  <c r="J510" i="9"/>
  <c r="I510" i="9"/>
  <c r="H510" i="9"/>
  <c r="G510" i="9"/>
  <c r="F510" i="9"/>
  <c r="E510" i="9"/>
  <c r="K510" i="9" s="1"/>
  <c r="K509" i="9"/>
  <c r="J509" i="9"/>
  <c r="I509" i="9"/>
  <c r="H509" i="9"/>
  <c r="G509" i="9"/>
  <c r="F509" i="9"/>
  <c r="E509" i="9"/>
  <c r="J508" i="9"/>
  <c r="I508" i="9"/>
  <c r="H508" i="9"/>
  <c r="G508" i="9"/>
  <c r="F508" i="9"/>
  <c r="E508" i="9"/>
  <c r="K508" i="9" s="1"/>
  <c r="J507" i="9"/>
  <c r="I507" i="9"/>
  <c r="H507" i="9"/>
  <c r="G507" i="9"/>
  <c r="F507" i="9"/>
  <c r="E507" i="9"/>
  <c r="K507" i="9" s="1"/>
  <c r="J506" i="9"/>
  <c r="I506" i="9"/>
  <c r="H506" i="9"/>
  <c r="G506" i="9"/>
  <c r="F506" i="9"/>
  <c r="E506" i="9"/>
  <c r="K506" i="9" s="1"/>
  <c r="J505" i="9"/>
  <c r="I505" i="9"/>
  <c r="H505" i="9"/>
  <c r="G505" i="9"/>
  <c r="F505" i="9"/>
  <c r="E505" i="9"/>
  <c r="K505" i="9" s="1"/>
  <c r="J504" i="9"/>
  <c r="I504" i="9"/>
  <c r="H504" i="9"/>
  <c r="G504" i="9"/>
  <c r="F504" i="9"/>
  <c r="E504" i="9"/>
  <c r="K504" i="9" s="1"/>
  <c r="J503" i="9"/>
  <c r="I503" i="9"/>
  <c r="H503" i="9"/>
  <c r="G503" i="9"/>
  <c r="F503" i="9"/>
  <c r="E503" i="9"/>
  <c r="K503" i="9" s="1"/>
  <c r="J502" i="9"/>
  <c r="I502" i="9"/>
  <c r="H502" i="9"/>
  <c r="G502" i="9"/>
  <c r="F502" i="9"/>
  <c r="E502" i="9"/>
  <c r="K502" i="9" s="1"/>
  <c r="J501" i="9"/>
  <c r="I501" i="9"/>
  <c r="H501" i="9"/>
  <c r="G501" i="9"/>
  <c r="F501" i="9"/>
  <c r="E501" i="9"/>
  <c r="K501" i="9" s="1"/>
  <c r="J500" i="9"/>
  <c r="I500" i="9"/>
  <c r="H500" i="9"/>
  <c r="G500" i="9"/>
  <c r="F500" i="9"/>
  <c r="E500" i="9"/>
  <c r="K500" i="9" s="1"/>
  <c r="J499" i="9"/>
  <c r="I499" i="9"/>
  <c r="H499" i="9"/>
  <c r="G499" i="9"/>
  <c r="F499" i="9"/>
  <c r="E499" i="9"/>
  <c r="K499" i="9" s="1"/>
  <c r="J498" i="9"/>
  <c r="I498" i="9"/>
  <c r="H498" i="9"/>
  <c r="G498" i="9"/>
  <c r="F498" i="9"/>
  <c r="E498" i="9"/>
  <c r="K498" i="9" s="1"/>
  <c r="J497" i="9"/>
  <c r="I497" i="9"/>
  <c r="H497" i="9"/>
  <c r="G497" i="9"/>
  <c r="F497" i="9"/>
  <c r="E497" i="9"/>
  <c r="K497" i="9" s="1"/>
  <c r="J496" i="9"/>
  <c r="I496" i="9"/>
  <c r="H496" i="9"/>
  <c r="G496" i="9"/>
  <c r="F496" i="9"/>
  <c r="E496" i="9"/>
  <c r="K496" i="9" s="1"/>
  <c r="J495" i="9"/>
  <c r="I495" i="9"/>
  <c r="H495" i="9"/>
  <c r="G495" i="9"/>
  <c r="F495" i="9"/>
  <c r="E495" i="9"/>
  <c r="K495" i="9" s="1"/>
  <c r="J494" i="9"/>
  <c r="I494" i="9"/>
  <c r="H494" i="9"/>
  <c r="G494" i="9"/>
  <c r="F494" i="9"/>
  <c r="E494" i="9"/>
  <c r="K494" i="9" s="1"/>
  <c r="J493" i="9"/>
  <c r="I493" i="9"/>
  <c r="H493" i="9"/>
  <c r="G493" i="9"/>
  <c r="F493" i="9"/>
  <c r="E493" i="9"/>
  <c r="K493" i="9" s="1"/>
  <c r="J492" i="9"/>
  <c r="I492" i="9"/>
  <c r="H492" i="9"/>
  <c r="G492" i="9"/>
  <c r="F492" i="9"/>
  <c r="E492" i="9"/>
  <c r="K492" i="9" s="1"/>
  <c r="J491" i="9"/>
  <c r="I491" i="9"/>
  <c r="H491" i="9"/>
  <c r="G491" i="9"/>
  <c r="F491" i="9"/>
  <c r="E491" i="9"/>
  <c r="K491" i="9" s="1"/>
  <c r="J490" i="9"/>
  <c r="I490" i="9"/>
  <c r="H490" i="9"/>
  <c r="G490" i="9"/>
  <c r="F490" i="9"/>
  <c r="E490" i="9"/>
  <c r="K490" i="9" s="1"/>
  <c r="J489" i="9"/>
  <c r="I489" i="9"/>
  <c r="H489" i="9"/>
  <c r="G489" i="9"/>
  <c r="F489" i="9"/>
  <c r="E489" i="9"/>
  <c r="K489" i="9" s="1"/>
  <c r="J488" i="9"/>
  <c r="I488" i="9"/>
  <c r="H488" i="9"/>
  <c r="G488" i="9"/>
  <c r="F488" i="9"/>
  <c r="E488" i="9"/>
  <c r="K488" i="9" s="1"/>
  <c r="J487" i="9"/>
  <c r="I487" i="9"/>
  <c r="H487" i="9"/>
  <c r="G487" i="9"/>
  <c r="F487" i="9"/>
  <c r="E487" i="9"/>
  <c r="K487" i="9" s="1"/>
  <c r="J486" i="9"/>
  <c r="I486" i="9"/>
  <c r="H486" i="9"/>
  <c r="G486" i="9"/>
  <c r="F486" i="9"/>
  <c r="E486" i="9"/>
  <c r="K486" i="9" s="1"/>
  <c r="J485" i="9"/>
  <c r="I485" i="9"/>
  <c r="H485" i="9"/>
  <c r="G485" i="9"/>
  <c r="F485" i="9"/>
  <c r="E485" i="9"/>
  <c r="K485" i="9" s="1"/>
  <c r="J484" i="9"/>
  <c r="I484" i="9"/>
  <c r="H484" i="9"/>
  <c r="G484" i="9"/>
  <c r="F484" i="9"/>
  <c r="E484" i="9"/>
  <c r="K484" i="9" s="1"/>
  <c r="J483" i="9"/>
  <c r="I483" i="9"/>
  <c r="H483" i="9"/>
  <c r="G483" i="9"/>
  <c r="F483" i="9"/>
  <c r="E483" i="9"/>
  <c r="K483" i="9" s="1"/>
  <c r="J482" i="9"/>
  <c r="I482" i="9"/>
  <c r="H482" i="9"/>
  <c r="G482" i="9"/>
  <c r="F482" i="9"/>
  <c r="E482" i="9"/>
  <c r="K482" i="9" s="1"/>
  <c r="J481" i="9"/>
  <c r="I481" i="9"/>
  <c r="H481" i="9"/>
  <c r="G481" i="9"/>
  <c r="F481" i="9"/>
  <c r="E481" i="9"/>
  <c r="K481" i="9" s="1"/>
  <c r="J480" i="9"/>
  <c r="I480" i="9"/>
  <c r="H480" i="9"/>
  <c r="G480" i="9"/>
  <c r="F480" i="9"/>
  <c r="E480" i="9"/>
  <c r="K480" i="9" s="1"/>
  <c r="J479" i="9"/>
  <c r="I479" i="9"/>
  <c r="H479" i="9"/>
  <c r="G479" i="9"/>
  <c r="F479" i="9"/>
  <c r="E479" i="9"/>
  <c r="K479" i="9" s="1"/>
  <c r="J478" i="9"/>
  <c r="I478" i="9"/>
  <c r="H478" i="9"/>
  <c r="G478" i="9"/>
  <c r="F478" i="9"/>
  <c r="E478" i="9"/>
  <c r="K478" i="9" s="1"/>
  <c r="J477" i="9"/>
  <c r="I477" i="9"/>
  <c r="H477" i="9"/>
  <c r="G477" i="9"/>
  <c r="F477" i="9"/>
  <c r="E477" i="9"/>
  <c r="K477" i="9" s="1"/>
  <c r="J476" i="9"/>
  <c r="I476" i="9"/>
  <c r="H476" i="9"/>
  <c r="G476" i="9"/>
  <c r="F476" i="9"/>
  <c r="E476" i="9"/>
  <c r="K476" i="9" s="1"/>
  <c r="J475" i="9"/>
  <c r="I475" i="9"/>
  <c r="H475" i="9"/>
  <c r="G475" i="9"/>
  <c r="F475" i="9"/>
  <c r="E475" i="9"/>
  <c r="K475" i="9" s="1"/>
  <c r="J474" i="9"/>
  <c r="I474" i="9"/>
  <c r="H474" i="9"/>
  <c r="G474" i="9"/>
  <c r="F474" i="9"/>
  <c r="E474" i="9"/>
  <c r="K474" i="9" s="1"/>
  <c r="J473" i="9"/>
  <c r="I473" i="9"/>
  <c r="H473" i="9"/>
  <c r="G473" i="9"/>
  <c r="F473" i="9"/>
  <c r="E473" i="9"/>
  <c r="K473" i="9" s="1"/>
  <c r="J472" i="9"/>
  <c r="I472" i="9"/>
  <c r="H472" i="9"/>
  <c r="G472" i="9"/>
  <c r="F472" i="9"/>
  <c r="E472" i="9"/>
  <c r="K472" i="9" s="1"/>
  <c r="J471" i="9"/>
  <c r="I471" i="9"/>
  <c r="H471" i="9"/>
  <c r="G471" i="9"/>
  <c r="F471" i="9"/>
  <c r="E471" i="9"/>
  <c r="K471" i="9" s="1"/>
  <c r="J470" i="9"/>
  <c r="I470" i="9"/>
  <c r="H470" i="9"/>
  <c r="G470" i="9"/>
  <c r="F470" i="9"/>
  <c r="E470" i="9"/>
  <c r="K470" i="9" s="1"/>
  <c r="J469" i="9"/>
  <c r="I469" i="9"/>
  <c r="H469" i="9"/>
  <c r="G469" i="9"/>
  <c r="F469" i="9"/>
  <c r="E469" i="9"/>
  <c r="K469" i="9" s="1"/>
  <c r="J468" i="9"/>
  <c r="I468" i="9"/>
  <c r="H468" i="9"/>
  <c r="G468" i="9"/>
  <c r="F468" i="9"/>
  <c r="E468" i="9"/>
  <c r="K468" i="9" s="1"/>
  <c r="J467" i="9"/>
  <c r="I467" i="9"/>
  <c r="H467" i="9"/>
  <c r="G467" i="9"/>
  <c r="F467" i="9"/>
  <c r="E467" i="9"/>
  <c r="K467" i="9" s="1"/>
  <c r="J466" i="9"/>
  <c r="I466" i="9"/>
  <c r="H466" i="9"/>
  <c r="G466" i="9"/>
  <c r="F466" i="9"/>
  <c r="E466" i="9"/>
  <c r="K466" i="9" s="1"/>
  <c r="J465" i="9"/>
  <c r="I465" i="9"/>
  <c r="H465" i="9"/>
  <c r="G465" i="9"/>
  <c r="F465" i="9"/>
  <c r="E465" i="9"/>
  <c r="K465" i="9" s="1"/>
  <c r="J464" i="9"/>
  <c r="I464" i="9"/>
  <c r="H464" i="9"/>
  <c r="G464" i="9"/>
  <c r="F464" i="9"/>
  <c r="E464" i="9"/>
  <c r="K464" i="9" s="1"/>
  <c r="J463" i="9"/>
  <c r="I463" i="9"/>
  <c r="H463" i="9"/>
  <c r="G463" i="9"/>
  <c r="F463" i="9"/>
  <c r="E463" i="9"/>
  <c r="K463" i="9" s="1"/>
  <c r="J462" i="9"/>
  <c r="I462" i="9"/>
  <c r="H462" i="9"/>
  <c r="G462" i="9"/>
  <c r="F462" i="9"/>
  <c r="E462" i="9"/>
  <c r="K462" i="9" s="1"/>
  <c r="J461" i="9"/>
  <c r="I461" i="9"/>
  <c r="H461" i="9"/>
  <c r="G461" i="9"/>
  <c r="F461" i="9"/>
  <c r="E461" i="9"/>
  <c r="K461" i="9" s="1"/>
  <c r="J460" i="9"/>
  <c r="I460" i="9"/>
  <c r="H460" i="9"/>
  <c r="G460" i="9"/>
  <c r="F460" i="9"/>
  <c r="E460" i="9"/>
  <c r="K460" i="9" s="1"/>
  <c r="J459" i="9"/>
  <c r="I459" i="9"/>
  <c r="H459" i="9"/>
  <c r="G459" i="9"/>
  <c r="F459" i="9"/>
  <c r="E459" i="9"/>
  <c r="K459" i="9" s="1"/>
  <c r="J458" i="9"/>
  <c r="I458" i="9"/>
  <c r="H458" i="9"/>
  <c r="G458" i="9"/>
  <c r="F458" i="9"/>
  <c r="E458" i="9"/>
  <c r="K458" i="9" s="1"/>
  <c r="J457" i="9"/>
  <c r="I457" i="9"/>
  <c r="H457" i="9"/>
  <c r="G457" i="9"/>
  <c r="F457" i="9"/>
  <c r="E457" i="9"/>
  <c r="K457" i="9" s="1"/>
  <c r="J456" i="9"/>
  <c r="I456" i="9"/>
  <c r="H456" i="9"/>
  <c r="G456" i="9"/>
  <c r="F456" i="9"/>
  <c r="E456" i="9"/>
  <c r="K456" i="9" s="1"/>
  <c r="J455" i="9"/>
  <c r="I455" i="9"/>
  <c r="H455" i="9"/>
  <c r="G455" i="9"/>
  <c r="F455" i="9"/>
  <c r="E455" i="9"/>
  <c r="K455" i="9" s="1"/>
  <c r="J454" i="9"/>
  <c r="I454" i="9"/>
  <c r="H454" i="9"/>
  <c r="G454" i="9"/>
  <c r="F454" i="9"/>
  <c r="E454" i="9"/>
  <c r="K454" i="9" s="1"/>
  <c r="J453" i="9"/>
  <c r="I453" i="9"/>
  <c r="H453" i="9"/>
  <c r="G453" i="9"/>
  <c r="F453" i="9"/>
  <c r="E453" i="9"/>
  <c r="K453" i="9" s="1"/>
  <c r="J452" i="9"/>
  <c r="I452" i="9"/>
  <c r="H452" i="9"/>
  <c r="G452" i="9"/>
  <c r="F452" i="9"/>
  <c r="E452" i="9"/>
  <c r="K452" i="9" s="1"/>
  <c r="J451" i="9"/>
  <c r="I451" i="9"/>
  <c r="H451" i="9"/>
  <c r="G451" i="9"/>
  <c r="F451" i="9"/>
  <c r="E451" i="9"/>
  <c r="K451" i="9" s="1"/>
  <c r="J450" i="9"/>
  <c r="I450" i="9"/>
  <c r="H450" i="9"/>
  <c r="G450" i="9"/>
  <c r="F450" i="9"/>
  <c r="E450" i="9"/>
  <c r="K450" i="9" s="1"/>
  <c r="J449" i="9"/>
  <c r="I449" i="9"/>
  <c r="H449" i="9"/>
  <c r="G449" i="9"/>
  <c r="F449" i="9"/>
  <c r="E449" i="9"/>
  <c r="K449" i="9" s="1"/>
  <c r="J448" i="9"/>
  <c r="I448" i="9"/>
  <c r="H448" i="9"/>
  <c r="G448" i="9"/>
  <c r="F448" i="9"/>
  <c r="E448" i="9"/>
  <c r="K448" i="9" s="1"/>
  <c r="J447" i="9"/>
  <c r="I447" i="9"/>
  <c r="H447" i="9"/>
  <c r="G447" i="9"/>
  <c r="F447" i="9"/>
  <c r="E447" i="9"/>
  <c r="K447" i="9" s="1"/>
  <c r="J446" i="9"/>
  <c r="I446" i="9"/>
  <c r="H446" i="9"/>
  <c r="G446" i="9"/>
  <c r="F446" i="9"/>
  <c r="E446" i="9"/>
  <c r="K446" i="9" s="1"/>
  <c r="J445" i="9"/>
  <c r="I445" i="9"/>
  <c r="H445" i="9"/>
  <c r="G445" i="9"/>
  <c r="F445" i="9"/>
  <c r="E445" i="9"/>
  <c r="K445" i="9" s="1"/>
  <c r="J444" i="9"/>
  <c r="I444" i="9"/>
  <c r="H444" i="9"/>
  <c r="G444" i="9"/>
  <c r="F444" i="9"/>
  <c r="E444" i="9"/>
  <c r="K444" i="9" s="1"/>
  <c r="J443" i="9"/>
  <c r="I443" i="9"/>
  <c r="H443" i="9"/>
  <c r="G443" i="9"/>
  <c r="F443" i="9"/>
  <c r="E443" i="9"/>
  <c r="K443" i="9" s="1"/>
  <c r="J442" i="9"/>
  <c r="I442" i="9"/>
  <c r="H442" i="9"/>
  <c r="G442" i="9"/>
  <c r="F442" i="9"/>
  <c r="E442" i="9"/>
  <c r="K442" i="9" s="1"/>
  <c r="J441" i="9"/>
  <c r="I441" i="9"/>
  <c r="H441" i="9"/>
  <c r="G441" i="9"/>
  <c r="F441" i="9"/>
  <c r="E441" i="9"/>
  <c r="K441" i="9" s="1"/>
  <c r="J440" i="9"/>
  <c r="I440" i="9"/>
  <c r="H440" i="9"/>
  <c r="G440" i="9"/>
  <c r="F440" i="9"/>
  <c r="E440" i="9"/>
  <c r="K440" i="9" s="1"/>
  <c r="J439" i="9"/>
  <c r="I439" i="9"/>
  <c r="H439" i="9"/>
  <c r="G439" i="9"/>
  <c r="F439" i="9"/>
  <c r="E439" i="9"/>
  <c r="K439" i="9" s="1"/>
  <c r="J438" i="9"/>
  <c r="I438" i="9"/>
  <c r="H438" i="9"/>
  <c r="G438" i="9"/>
  <c r="F438" i="9"/>
  <c r="E438" i="9"/>
  <c r="K438" i="9" s="1"/>
  <c r="J437" i="9"/>
  <c r="I437" i="9"/>
  <c r="H437" i="9"/>
  <c r="G437" i="9"/>
  <c r="F437" i="9"/>
  <c r="E437" i="9"/>
  <c r="K437" i="9" s="1"/>
  <c r="J436" i="9"/>
  <c r="I436" i="9"/>
  <c r="H436" i="9"/>
  <c r="G436" i="9"/>
  <c r="F436" i="9"/>
  <c r="E436" i="9"/>
  <c r="K436" i="9" s="1"/>
  <c r="J435" i="9"/>
  <c r="I435" i="9"/>
  <c r="H435" i="9"/>
  <c r="G435" i="9"/>
  <c r="F435" i="9"/>
  <c r="E435" i="9"/>
  <c r="K435" i="9" s="1"/>
  <c r="J434" i="9"/>
  <c r="I434" i="9"/>
  <c r="H434" i="9"/>
  <c r="G434" i="9"/>
  <c r="F434" i="9"/>
  <c r="E434" i="9"/>
  <c r="K434" i="9" s="1"/>
  <c r="J433" i="9"/>
  <c r="I433" i="9"/>
  <c r="H433" i="9"/>
  <c r="G433" i="9"/>
  <c r="F433" i="9"/>
  <c r="E433" i="9"/>
  <c r="K433" i="9" s="1"/>
  <c r="J432" i="9"/>
  <c r="I432" i="9"/>
  <c r="H432" i="9"/>
  <c r="G432" i="9"/>
  <c r="F432" i="9"/>
  <c r="E432" i="9"/>
  <c r="K432" i="9" s="1"/>
  <c r="J431" i="9"/>
  <c r="I431" i="9"/>
  <c r="H431" i="9"/>
  <c r="G431" i="9"/>
  <c r="F431" i="9"/>
  <c r="E431" i="9"/>
  <c r="K431" i="9" s="1"/>
  <c r="J430" i="9"/>
  <c r="I430" i="9"/>
  <c r="H430" i="9"/>
  <c r="G430" i="9"/>
  <c r="F430" i="9"/>
  <c r="E430" i="9"/>
  <c r="K430" i="9" s="1"/>
  <c r="J429" i="9"/>
  <c r="I429" i="9"/>
  <c r="H429" i="9"/>
  <c r="G429" i="9"/>
  <c r="F429" i="9"/>
  <c r="E429" i="9"/>
  <c r="K429" i="9" s="1"/>
  <c r="J428" i="9"/>
  <c r="I428" i="9"/>
  <c r="H428" i="9"/>
  <c r="G428" i="9"/>
  <c r="F428" i="9"/>
  <c r="E428" i="9"/>
  <c r="K428" i="9" s="1"/>
  <c r="J427" i="9"/>
  <c r="I427" i="9"/>
  <c r="H427" i="9"/>
  <c r="G427" i="9"/>
  <c r="F427" i="9"/>
  <c r="E427" i="9"/>
  <c r="K427" i="9" s="1"/>
  <c r="J426" i="9"/>
  <c r="I426" i="9"/>
  <c r="H426" i="9"/>
  <c r="G426" i="9"/>
  <c r="F426" i="9"/>
  <c r="E426" i="9"/>
  <c r="K426" i="9" s="1"/>
  <c r="K425" i="9"/>
  <c r="J425" i="9"/>
  <c r="I425" i="9"/>
  <c r="H425" i="9"/>
  <c r="G425" i="9"/>
  <c r="F425" i="9"/>
  <c r="E425" i="9"/>
  <c r="J424" i="9"/>
  <c r="I424" i="9"/>
  <c r="H424" i="9"/>
  <c r="G424" i="9"/>
  <c r="F424" i="9"/>
  <c r="E424" i="9"/>
  <c r="K424" i="9" s="1"/>
  <c r="J423" i="9"/>
  <c r="I423" i="9"/>
  <c r="H423" i="9"/>
  <c r="G423" i="9"/>
  <c r="F423" i="9"/>
  <c r="E423" i="9"/>
  <c r="K423" i="9" s="1"/>
  <c r="J422" i="9"/>
  <c r="I422" i="9"/>
  <c r="H422" i="9"/>
  <c r="G422" i="9"/>
  <c r="F422" i="9"/>
  <c r="E422" i="9"/>
  <c r="K422" i="9" s="1"/>
  <c r="J421" i="9"/>
  <c r="I421" i="9"/>
  <c r="H421" i="9"/>
  <c r="G421" i="9"/>
  <c r="F421" i="9"/>
  <c r="E421" i="9"/>
  <c r="K421" i="9" s="1"/>
  <c r="J420" i="9"/>
  <c r="I420" i="9"/>
  <c r="H420" i="9"/>
  <c r="G420" i="9"/>
  <c r="F420" i="9"/>
  <c r="E420" i="9"/>
  <c r="K420" i="9" s="1"/>
  <c r="J419" i="9"/>
  <c r="I419" i="9"/>
  <c r="H419" i="9"/>
  <c r="G419" i="9"/>
  <c r="F419" i="9"/>
  <c r="E419" i="9"/>
  <c r="K419" i="9" s="1"/>
  <c r="J418" i="9"/>
  <c r="I418" i="9"/>
  <c r="H418" i="9"/>
  <c r="G418" i="9"/>
  <c r="F418" i="9"/>
  <c r="E418" i="9"/>
  <c r="K418" i="9" s="1"/>
  <c r="J417" i="9"/>
  <c r="I417" i="9"/>
  <c r="H417" i="9"/>
  <c r="G417" i="9"/>
  <c r="F417" i="9"/>
  <c r="E417" i="9"/>
  <c r="K417" i="9" s="1"/>
  <c r="J416" i="9"/>
  <c r="I416" i="9"/>
  <c r="H416" i="9"/>
  <c r="G416" i="9"/>
  <c r="F416" i="9"/>
  <c r="E416" i="9"/>
  <c r="K416" i="9" s="1"/>
  <c r="J415" i="9"/>
  <c r="I415" i="9"/>
  <c r="H415" i="9"/>
  <c r="G415" i="9"/>
  <c r="F415" i="9"/>
  <c r="E415" i="9"/>
  <c r="K415" i="9" s="1"/>
  <c r="J414" i="9"/>
  <c r="I414" i="9"/>
  <c r="H414" i="9"/>
  <c r="G414" i="9"/>
  <c r="F414" i="9"/>
  <c r="E414" i="9"/>
  <c r="K414" i="9" s="1"/>
  <c r="J413" i="9"/>
  <c r="I413" i="9"/>
  <c r="H413" i="9"/>
  <c r="G413" i="9"/>
  <c r="F413" i="9"/>
  <c r="E413" i="9"/>
  <c r="K413" i="9" s="1"/>
  <c r="J412" i="9"/>
  <c r="I412" i="9"/>
  <c r="H412" i="9"/>
  <c r="G412" i="9"/>
  <c r="F412" i="9"/>
  <c r="E412" i="9"/>
  <c r="K412" i="9" s="1"/>
  <c r="J411" i="9"/>
  <c r="I411" i="9"/>
  <c r="H411" i="9"/>
  <c r="G411" i="9"/>
  <c r="F411" i="9"/>
  <c r="E411" i="9"/>
  <c r="K411" i="9" s="1"/>
  <c r="J410" i="9"/>
  <c r="I410" i="9"/>
  <c r="H410" i="9"/>
  <c r="G410" i="9"/>
  <c r="F410" i="9"/>
  <c r="E410" i="9"/>
  <c r="K410" i="9" s="1"/>
  <c r="J409" i="9"/>
  <c r="I409" i="9"/>
  <c r="H409" i="9"/>
  <c r="G409" i="9"/>
  <c r="F409" i="9"/>
  <c r="E409" i="9"/>
  <c r="K409" i="9" s="1"/>
  <c r="J408" i="9"/>
  <c r="I408" i="9"/>
  <c r="H408" i="9"/>
  <c r="G408" i="9"/>
  <c r="F408" i="9"/>
  <c r="E408" i="9"/>
  <c r="K408" i="9" s="1"/>
  <c r="J407" i="9"/>
  <c r="I407" i="9"/>
  <c r="H407" i="9"/>
  <c r="G407" i="9"/>
  <c r="F407" i="9"/>
  <c r="E407" i="9"/>
  <c r="K407" i="9" s="1"/>
  <c r="J406" i="9"/>
  <c r="I406" i="9"/>
  <c r="H406" i="9"/>
  <c r="G406" i="9"/>
  <c r="F406" i="9"/>
  <c r="E406" i="9"/>
  <c r="K406" i="9" s="1"/>
  <c r="J405" i="9"/>
  <c r="I405" i="9"/>
  <c r="H405" i="9"/>
  <c r="G405" i="9"/>
  <c r="F405" i="9"/>
  <c r="E405" i="9"/>
  <c r="K405" i="9" s="1"/>
  <c r="J404" i="9"/>
  <c r="I404" i="9"/>
  <c r="H404" i="9"/>
  <c r="G404" i="9"/>
  <c r="F404" i="9"/>
  <c r="E404" i="9"/>
  <c r="K404" i="9" s="1"/>
  <c r="J403" i="9"/>
  <c r="I403" i="9"/>
  <c r="H403" i="9"/>
  <c r="G403" i="9"/>
  <c r="F403" i="9"/>
  <c r="E403" i="9"/>
  <c r="K403" i="9" s="1"/>
  <c r="J402" i="9"/>
  <c r="I402" i="9"/>
  <c r="H402" i="9"/>
  <c r="G402" i="9"/>
  <c r="F402" i="9"/>
  <c r="E402" i="9"/>
  <c r="K402" i="9" s="1"/>
  <c r="J401" i="9"/>
  <c r="I401" i="9"/>
  <c r="H401" i="9"/>
  <c r="G401" i="9"/>
  <c r="F401" i="9"/>
  <c r="E401" i="9"/>
  <c r="K401" i="9" s="1"/>
  <c r="J400" i="9"/>
  <c r="I400" i="9"/>
  <c r="H400" i="9"/>
  <c r="G400" i="9"/>
  <c r="F400" i="9"/>
  <c r="E400" i="9"/>
  <c r="K400" i="9" s="1"/>
  <c r="J399" i="9"/>
  <c r="I399" i="9"/>
  <c r="H399" i="9"/>
  <c r="G399" i="9"/>
  <c r="F399" i="9"/>
  <c r="E399" i="9"/>
  <c r="K399" i="9" s="1"/>
  <c r="J398" i="9"/>
  <c r="I398" i="9"/>
  <c r="H398" i="9"/>
  <c r="G398" i="9"/>
  <c r="F398" i="9"/>
  <c r="E398" i="9"/>
  <c r="K398" i="9" s="1"/>
  <c r="J397" i="9"/>
  <c r="I397" i="9"/>
  <c r="H397" i="9"/>
  <c r="G397" i="9"/>
  <c r="F397" i="9"/>
  <c r="E397" i="9"/>
  <c r="K397" i="9" s="1"/>
  <c r="J396" i="9"/>
  <c r="I396" i="9"/>
  <c r="H396" i="9"/>
  <c r="G396" i="9"/>
  <c r="F396" i="9"/>
  <c r="E396" i="9"/>
  <c r="K396" i="9" s="1"/>
  <c r="J395" i="9"/>
  <c r="I395" i="9"/>
  <c r="H395" i="9"/>
  <c r="G395" i="9"/>
  <c r="F395" i="9"/>
  <c r="E395" i="9"/>
  <c r="K395" i="9" s="1"/>
  <c r="J394" i="9"/>
  <c r="I394" i="9"/>
  <c r="H394" i="9"/>
  <c r="G394" i="9"/>
  <c r="F394" i="9"/>
  <c r="E394" i="9"/>
  <c r="K394" i="9" s="1"/>
  <c r="J393" i="9"/>
  <c r="I393" i="9"/>
  <c r="H393" i="9"/>
  <c r="G393" i="9"/>
  <c r="F393" i="9"/>
  <c r="E393" i="9"/>
  <c r="K393" i="9" s="1"/>
  <c r="J392" i="9"/>
  <c r="I392" i="9"/>
  <c r="H392" i="9"/>
  <c r="G392" i="9"/>
  <c r="F392" i="9"/>
  <c r="E392" i="9"/>
  <c r="K392" i="9" s="1"/>
  <c r="J391" i="9"/>
  <c r="I391" i="9"/>
  <c r="H391" i="9"/>
  <c r="G391" i="9"/>
  <c r="F391" i="9"/>
  <c r="E391" i="9"/>
  <c r="K391" i="9" s="1"/>
  <c r="J390" i="9"/>
  <c r="I390" i="9"/>
  <c r="H390" i="9"/>
  <c r="G390" i="9"/>
  <c r="F390" i="9"/>
  <c r="E390" i="9"/>
  <c r="K390" i="9" s="1"/>
  <c r="J389" i="9"/>
  <c r="I389" i="9"/>
  <c r="H389" i="9"/>
  <c r="G389" i="9"/>
  <c r="F389" i="9"/>
  <c r="E389" i="9"/>
  <c r="K389" i="9" s="1"/>
  <c r="J388" i="9"/>
  <c r="I388" i="9"/>
  <c r="H388" i="9"/>
  <c r="G388" i="9"/>
  <c r="F388" i="9"/>
  <c r="E388" i="9"/>
  <c r="K388" i="9" s="1"/>
  <c r="J387" i="9"/>
  <c r="I387" i="9"/>
  <c r="H387" i="9"/>
  <c r="G387" i="9"/>
  <c r="F387" i="9"/>
  <c r="E387" i="9"/>
  <c r="K387" i="9" s="1"/>
  <c r="J386" i="9"/>
  <c r="I386" i="9"/>
  <c r="H386" i="9"/>
  <c r="G386" i="9"/>
  <c r="F386" i="9"/>
  <c r="E386" i="9"/>
  <c r="K386" i="9" s="1"/>
  <c r="J385" i="9"/>
  <c r="I385" i="9"/>
  <c r="H385" i="9"/>
  <c r="G385" i="9"/>
  <c r="F385" i="9"/>
  <c r="E385" i="9"/>
  <c r="K385" i="9" s="1"/>
  <c r="J384" i="9"/>
  <c r="I384" i="9"/>
  <c r="H384" i="9"/>
  <c r="G384" i="9"/>
  <c r="F384" i="9"/>
  <c r="E384" i="9"/>
  <c r="K384" i="9" s="1"/>
  <c r="J383" i="9"/>
  <c r="I383" i="9"/>
  <c r="H383" i="9"/>
  <c r="G383" i="9"/>
  <c r="F383" i="9"/>
  <c r="E383" i="9"/>
  <c r="K383" i="9" s="1"/>
  <c r="J382" i="9"/>
  <c r="I382" i="9"/>
  <c r="H382" i="9"/>
  <c r="G382" i="9"/>
  <c r="F382" i="9"/>
  <c r="E382" i="9"/>
  <c r="K382" i="9" s="1"/>
  <c r="J381" i="9"/>
  <c r="I381" i="9"/>
  <c r="H381" i="9"/>
  <c r="G381" i="9"/>
  <c r="F381" i="9"/>
  <c r="E381" i="9"/>
  <c r="K381" i="9" s="1"/>
  <c r="J380" i="9"/>
  <c r="I380" i="9"/>
  <c r="H380" i="9"/>
  <c r="G380" i="9"/>
  <c r="F380" i="9"/>
  <c r="E380" i="9"/>
  <c r="K380" i="9" s="1"/>
  <c r="J379" i="9"/>
  <c r="I379" i="9"/>
  <c r="H379" i="9"/>
  <c r="G379" i="9"/>
  <c r="F379" i="9"/>
  <c r="E379" i="9"/>
  <c r="K379" i="9" s="1"/>
  <c r="J378" i="9"/>
  <c r="I378" i="9"/>
  <c r="H378" i="9"/>
  <c r="G378" i="9"/>
  <c r="F378" i="9"/>
  <c r="E378" i="9"/>
  <c r="K378" i="9" s="1"/>
  <c r="J377" i="9"/>
  <c r="I377" i="9"/>
  <c r="H377" i="9"/>
  <c r="G377" i="9"/>
  <c r="F377" i="9"/>
  <c r="E377" i="9"/>
  <c r="K377" i="9" s="1"/>
  <c r="J376" i="9"/>
  <c r="I376" i="9"/>
  <c r="H376" i="9"/>
  <c r="G376" i="9"/>
  <c r="F376" i="9"/>
  <c r="E376" i="9"/>
  <c r="K376" i="9" s="1"/>
  <c r="J375" i="9"/>
  <c r="I375" i="9"/>
  <c r="H375" i="9"/>
  <c r="G375" i="9"/>
  <c r="F375" i="9"/>
  <c r="E375" i="9"/>
  <c r="K375" i="9" s="1"/>
  <c r="J374" i="9"/>
  <c r="I374" i="9"/>
  <c r="H374" i="9"/>
  <c r="G374" i="9"/>
  <c r="F374" i="9"/>
  <c r="E374" i="9"/>
  <c r="K374" i="9" s="1"/>
  <c r="J373" i="9"/>
  <c r="I373" i="9"/>
  <c r="H373" i="9"/>
  <c r="G373" i="9"/>
  <c r="F373" i="9"/>
  <c r="E373" i="9"/>
  <c r="K373" i="9" s="1"/>
  <c r="J372" i="9"/>
  <c r="I372" i="9"/>
  <c r="H372" i="9"/>
  <c r="G372" i="9"/>
  <c r="F372" i="9"/>
  <c r="E372" i="9"/>
  <c r="K372" i="9" s="1"/>
  <c r="J371" i="9"/>
  <c r="I371" i="9"/>
  <c r="H371" i="9"/>
  <c r="G371" i="9"/>
  <c r="F371" i="9"/>
  <c r="E371" i="9"/>
  <c r="K371" i="9" s="1"/>
  <c r="J370" i="9"/>
  <c r="I370" i="9"/>
  <c r="H370" i="9"/>
  <c r="G370" i="9"/>
  <c r="F370" i="9"/>
  <c r="E370" i="9"/>
  <c r="K370" i="9" s="1"/>
  <c r="J369" i="9"/>
  <c r="I369" i="9"/>
  <c r="H369" i="9"/>
  <c r="G369" i="9"/>
  <c r="F369" i="9"/>
  <c r="E369" i="9"/>
  <c r="K369" i="9" s="1"/>
  <c r="J368" i="9"/>
  <c r="I368" i="9"/>
  <c r="H368" i="9"/>
  <c r="G368" i="9"/>
  <c r="F368" i="9"/>
  <c r="E368" i="9"/>
  <c r="K368" i="9" s="1"/>
  <c r="J367" i="9"/>
  <c r="I367" i="9"/>
  <c r="H367" i="9"/>
  <c r="G367" i="9"/>
  <c r="F367" i="9"/>
  <c r="E367" i="9"/>
  <c r="K367" i="9" s="1"/>
  <c r="J366" i="9"/>
  <c r="I366" i="9"/>
  <c r="H366" i="9"/>
  <c r="G366" i="9"/>
  <c r="F366" i="9"/>
  <c r="E366" i="9"/>
  <c r="K366" i="9" s="1"/>
  <c r="J365" i="9"/>
  <c r="I365" i="9"/>
  <c r="H365" i="9"/>
  <c r="G365" i="9"/>
  <c r="F365" i="9"/>
  <c r="E365" i="9"/>
  <c r="K365" i="9" s="1"/>
  <c r="J364" i="9"/>
  <c r="I364" i="9"/>
  <c r="H364" i="9"/>
  <c r="G364" i="9"/>
  <c r="F364" i="9"/>
  <c r="E364" i="9"/>
  <c r="K364" i="9" s="1"/>
  <c r="J363" i="9"/>
  <c r="I363" i="9"/>
  <c r="H363" i="9"/>
  <c r="G363" i="9"/>
  <c r="F363" i="9"/>
  <c r="E363" i="9"/>
  <c r="K363" i="9" s="1"/>
  <c r="J362" i="9"/>
  <c r="I362" i="9"/>
  <c r="H362" i="9"/>
  <c r="G362" i="9"/>
  <c r="F362" i="9"/>
  <c r="E362" i="9"/>
  <c r="K362" i="9" s="1"/>
  <c r="J361" i="9"/>
  <c r="I361" i="9"/>
  <c r="H361" i="9"/>
  <c r="G361" i="9"/>
  <c r="F361" i="9"/>
  <c r="E361" i="9"/>
  <c r="K361" i="9" s="1"/>
  <c r="J360" i="9"/>
  <c r="I360" i="9"/>
  <c r="H360" i="9"/>
  <c r="G360" i="9"/>
  <c r="F360" i="9"/>
  <c r="E360" i="9"/>
  <c r="K360" i="9" s="1"/>
  <c r="J359" i="9"/>
  <c r="I359" i="9"/>
  <c r="H359" i="9"/>
  <c r="G359" i="9"/>
  <c r="F359" i="9"/>
  <c r="E359" i="9"/>
  <c r="K359" i="9" s="1"/>
  <c r="J358" i="9"/>
  <c r="I358" i="9"/>
  <c r="H358" i="9"/>
  <c r="G358" i="9"/>
  <c r="F358" i="9"/>
  <c r="E358" i="9"/>
  <c r="K358" i="9" s="1"/>
  <c r="J357" i="9"/>
  <c r="I357" i="9"/>
  <c r="H357" i="9"/>
  <c r="G357" i="9"/>
  <c r="F357" i="9"/>
  <c r="E357" i="9"/>
  <c r="K357" i="9" s="1"/>
  <c r="J356" i="9"/>
  <c r="I356" i="9"/>
  <c r="H356" i="9"/>
  <c r="G356" i="9"/>
  <c r="F356" i="9"/>
  <c r="E356" i="9"/>
  <c r="K356" i="9" s="1"/>
  <c r="J355" i="9"/>
  <c r="I355" i="9"/>
  <c r="H355" i="9"/>
  <c r="G355" i="9"/>
  <c r="F355" i="9"/>
  <c r="E355" i="9"/>
  <c r="K355" i="9" s="1"/>
  <c r="J354" i="9"/>
  <c r="I354" i="9"/>
  <c r="H354" i="9"/>
  <c r="G354" i="9"/>
  <c r="F354" i="9"/>
  <c r="E354" i="9"/>
  <c r="K354" i="9" s="1"/>
  <c r="J353" i="9"/>
  <c r="I353" i="9"/>
  <c r="H353" i="9"/>
  <c r="G353" i="9"/>
  <c r="F353" i="9"/>
  <c r="E353" i="9"/>
  <c r="K353" i="9" s="1"/>
  <c r="J352" i="9"/>
  <c r="I352" i="9"/>
  <c r="H352" i="9"/>
  <c r="G352" i="9"/>
  <c r="F352" i="9"/>
  <c r="E352" i="9"/>
  <c r="K352" i="9" s="1"/>
  <c r="J351" i="9"/>
  <c r="I351" i="9"/>
  <c r="H351" i="9"/>
  <c r="G351" i="9"/>
  <c r="F351" i="9"/>
  <c r="E351" i="9"/>
  <c r="K351" i="9" s="1"/>
  <c r="J350" i="9"/>
  <c r="I350" i="9"/>
  <c r="H350" i="9"/>
  <c r="G350" i="9"/>
  <c r="F350" i="9"/>
  <c r="E350" i="9"/>
  <c r="K350" i="9" s="1"/>
  <c r="J349" i="9"/>
  <c r="I349" i="9"/>
  <c r="H349" i="9"/>
  <c r="G349" i="9"/>
  <c r="F349" i="9"/>
  <c r="E349" i="9"/>
  <c r="K349" i="9" s="1"/>
  <c r="J348" i="9"/>
  <c r="I348" i="9"/>
  <c r="H348" i="9"/>
  <c r="G348" i="9"/>
  <c r="F348" i="9"/>
  <c r="E348" i="9"/>
  <c r="K348" i="9" s="1"/>
  <c r="J347" i="9"/>
  <c r="I347" i="9"/>
  <c r="H347" i="9"/>
  <c r="G347" i="9"/>
  <c r="F347" i="9"/>
  <c r="E347" i="9"/>
  <c r="K347" i="9" s="1"/>
  <c r="J346" i="9"/>
  <c r="I346" i="9"/>
  <c r="H346" i="9"/>
  <c r="G346" i="9"/>
  <c r="F346" i="9"/>
  <c r="E346" i="9"/>
  <c r="K346" i="9" s="1"/>
  <c r="J345" i="9"/>
  <c r="I345" i="9"/>
  <c r="H345" i="9"/>
  <c r="G345" i="9"/>
  <c r="F345" i="9"/>
  <c r="E345" i="9"/>
  <c r="K345" i="9" s="1"/>
  <c r="J344" i="9"/>
  <c r="I344" i="9"/>
  <c r="H344" i="9"/>
  <c r="G344" i="9"/>
  <c r="F344" i="9"/>
  <c r="E344" i="9"/>
  <c r="K344" i="9" s="1"/>
  <c r="J343" i="9"/>
  <c r="I343" i="9"/>
  <c r="H343" i="9"/>
  <c r="G343" i="9"/>
  <c r="F343" i="9"/>
  <c r="E343" i="9"/>
  <c r="K343" i="9" s="1"/>
  <c r="J342" i="9"/>
  <c r="I342" i="9"/>
  <c r="H342" i="9"/>
  <c r="G342" i="9"/>
  <c r="F342" i="9"/>
  <c r="E342" i="9"/>
  <c r="K342" i="9" s="1"/>
  <c r="J341" i="9"/>
  <c r="I341" i="9"/>
  <c r="H341" i="9"/>
  <c r="G341" i="9"/>
  <c r="F341" i="9"/>
  <c r="E341" i="9"/>
  <c r="K341" i="9" s="1"/>
  <c r="J340" i="9"/>
  <c r="I340" i="9"/>
  <c r="H340" i="9"/>
  <c r="G340" i="9"/>
  <c r="F340" i="9"/>
  <c r="E340" i="9"/>
  <c r="K340" i="9" s="1"/>
  <c r="J339" i="9"/>
  <c r="I339" i="9"/>
  <c r="H339" i="9"/>
  <c r="G339" i="9"/>
  <c r="F339" i="9"/>
  <c r="E339" i="9"/>
  <c r="K339" i="9" s="1"/>
  <c r="J338" i="9"/>
  <c r="I338" i="9"/>
  <c r="H338" i="9"/>
  <c r="G338" i="9"/>
  <c r="F338" i="9"/>
  <c r="E338" i="9"/>
  <c r="K338" i="9" s="1"/>
  <c r="J337" i="9"/>
  <c r="I337" i="9"/>
  <c r="H337" i="9"/>
  <c r="G337" i="9"/>
  <c r="F337" i="9"/>
  <c r="E337" i="9"/>
  <c r="K337" i="9" s="1"/>
  <c r="J336" i="9"/>
  <c r="I336" i="9"/>
  <c r="H336" i="9"/>
  <c r="G336" i="9"/>
  <c r="F336" i="9"/>
  <c r="E336" i="9"/>
  <c r="K336" i="9" s="1"/>
  <c r="J335" i="9"/>
  <c r="I335" i="9"/>
  <c r="H335" i="9"/>
  <c r="G335" i="9"/>
  <c r="F335" i="9"/>
  <c r="E335" i="9"/>
  <c r="K335" i="9" s="1"/>
  <c r="J334" i="9"/>
  <c r="I334" i="9"/>
  <c r="H334" i="9"/>
  <c r="G334" i="9"/>
  <c r="F334" i="9"/>
  <c r="E334" i="9"/>
  <c r="K334" i="9" s="1"/>
  <c r="J333" i="9"/>
  <c r="I333" i="9"/>
  <c r="H333" i="9"/>
  <c r="G333" i="9"/>
  <c r="F333" i="9"/>
  <c r="E333" i="9"/>
  <c r="K333" i="9" s="1"/>
  <c r="J332" i="9"/>
  <c r="I332" i="9"/>
  <c r="H332" i="9"/>
  <c r="G332" i="9"/>
  <c r="F332" i="9"/>
  <c r="E332" i="9"/>
  <c r="K332" i="9" s="1"/>
  <c r="J331" i="9"/>
  <c r="I331" i="9"/>
  <c r="H331" i="9"/>
  <c r="G331" i="9"/>
  <c r="F331" i="9"/>
  <c r="E331" i="9"/>
  <c r="K331" i="9" s="1"/>
  <c r="J330" i="9"/>
  <c r="I330" i="9"/>
  <c r="H330" i="9"/>
  <c r="G330" i="9"/>
  <c r="F330" i="9"/>
  <c r="E330" i="9"/>
  <c r="K330" i="9" s="1"/>
  <c r="J329" i="9"/>
  <c r="I329" i="9"/>
  <c r="H329" i="9"/>
  <c r="G329" i="9"/>
  <c r="F329" i="9"/>
  <c r="E329" i="9"/>
  <c r="K329" i="9" s="1"/>
  <c r="J328" i="9"/>
  <c r="I328" i="9"/>
  <c r="H328" i="9"/>
  <c r="G328" i="9"/>
  <c r="F328" i="9"/>
  <c r="E328" i="9"/>
  <c r="K328" i="9" s="1"/>
  <c r="J327" i="9"/>
  <c r="I327" i="9"/>
  <c r="H327" i="9"/>
  <c r="G327" i="9"/>
  <c r="F327" i="9"/>
  <c r="E327" i="9"/>
  <c r="K327" i="9" s="1"/>
  <c r="J326" i="9"/>
  <c r="I326" i="9"/>
  <c r="H326" i="9"/>
  <c r="G326" i="9"/>
  <c r="F326" i="9"/>
  <c r="E326" i="9"/>
  <c r="K326" i="9" s="1"/>
  <c r="J325" i="9"/>
  <c r="I325" i="9"/>
  <c r="H325" i="9"/>
  <c r="G325" i="9"/>
  <c r="F325" i="9"/>
  <c r="E325" i="9"/>
  <c r="K325" i="9" s="1"/>
  <c r="J324" i="9"/>
  <c r="I324" i="9"/>
  <c r="H324" i="9"/>
  <c r="G324" i="9"/>
  <c r="F324" i="9"/>
  <c r="E324" i="9"/>
  <c r="K324" i="9" s="1"/>
  <c r="J323" i="9"/>
  <c r="I323" i="9"/>
  <c r="H323" i="9"/>
  <c r="G323" i="9"/>
  <c r="F323" i="9"/>
  <c r="E323" i="9"/>
  <c r="K323" i="9" s="1"/>
  <c r="J322" i="9"/>
  <c r="I322" i="9"/>
  <c r="H322" i="9"/>
  <c r="G322" i="9"/>
  <c r="F322" i="9"/>
  <c r="E322" i="9"/>
  <c r="K322" i="9" s="1"/>
  <c r="J321" i="9"/>
  <c r="I321" i="9"/>
  <c r="H321" i="9"/>
  <c r="G321" i="9"/>
  <c r="F321" i="9"/>
  <c r="E321" i="9"/>
  <c r="K321" i="9" s="1"/>
  <c r="J320" i="9"/>
  <c r="I320" i="9"/>
  <c r="H320" i="9"/>
  <c r="G320" i="9"/>
  <c r="F320" i="9"/>
  <c r="E320" i="9"/>
  <c r="K320" i="9" s="1"/>
  <c r="J319" i="9"/>
  <c r="I319" i="9"/>
  <c r="H319" i="9"/>
  <c r="G319" i="9"/>
  <c r="F319" i="9"/>
  <c r="E319" i="9"/>
  <c r="K319" i="9" s="1"/>
  <c r="J318" i="9"/>
  <c r="I318" i="9"/>
  <c r="H318" i="9"/>
  <c r="G318" i="9"/>
  <c r="F318" i="9"/>
  <c r="E318" i="9"/>
  <c r="K318" i="9" s="1"/>
  <c r="J317" i="9"/>
  <c r="I317" i="9"/>
  <c r="H317" i="9"/>
  <c r="G317" i="9"/>
  <c r="F317" i="9"/>
  <c r="E317" i="9"/>
  <c r="K317" i="9" s="1"/>
  <c r="J316" i="9"/>
  <c r="I316" i="9"/>
  <c r="H316" i="9"/>
  <c r="G316" i="9"/>
  <c r="F316" i="9"/>
  <c r="E316" i="9"/>
  <c r="K316" i="9" s="1"/>
  <c r="J315" i="9"/>
  <c r="I315" i="9"/>
  <c r="H315" i="9"/>
  <c r="G315" i="9"/>
  <c r="F315" i="9"/>
  <c r="E315" i="9"/>
  <c r="K315" i="9" s="1"/>
  <c r="J314" i="9"/>
  <c r="I314" i="9"/>
  <c r="H314" i="9"/>
  <c r="G314" i="9"/>
  <c r="F314" i="9"/>
  <c r="E314" i="9"/>
  <c r="K314" i="9" s="1"/>
  <c r="J313" i="9"/>
  <c r="I313" i="9"/>
  <c r="H313" i="9"/>
  <c r="G313" i="9"/>
  <c r="F313" i="9"/>
  <c r="E313" i="9"/>
  <c r="K313" i="9" s="1"/>
  <c r="J312" i="9"/>
  <c r="I312" i="9"/>
  <c r="H312" i="9"/>
  <c r="G312" i="9"/>
  <c r="F312" i="9"/>
  <c r="E312" i="9"/>
  <c r="K312" i="9" s="1"/>
  <c r="J311" i="9"/>
  <c r="I311" i="9"/>
  <c r="H311" i="9"/>
  <c r="G311" i="9"/>
  <c r="F311" i="9"/>
  <c r="E311" i="9"/>
  <c r="K311" i="9" s="1"/>
  <c r="J310" i="9"/>
  <c r="I310" i="9"/>
  <c r="H310" i="9"/>
  <c r="G310" i="9"/>
  <c r="F310" i="9"/>
  <c r="E310" i="9"/>
  <c r="K310" i="9" s="1"/>
  <c r="J309" i="9"/>
  <c r="I309" i="9"/>
  <c r="H309" i="9"/>
  <c r="G309" i="9"/>
  <c r="F309" i="9"/>
  <c r="E309" i="9"/>
  <c r="K309" i="9" s="1"/>
  <c r="J308" i="9"/>
  <c r="I308" i="9"/>
  <c r="H308" i="9"/>
  <c r="G308" i="9"/>
  <c r="F308" i="9"/>
  <c r="E308" i="9"/>
  <c r="K308" i="9" s="1"/>
  <c r="J307" i="9"/>
  <c r="I307" i="9"/>
  <c r="H307" i="9"/>
  <c r="G307" i="9"/>
  <c r="F307" i="9"/>
  <c r="E307" i="9"/>
  <c r="K307" i="9" s="1"/>
  <c r="J306" i="9"/>
  <c r="I306" i="9"/>
  <c r="H306" i="9"/>
  <c r="G306" i="9"/>
  <c r="F306" i="9"/>
  <c r="E306" i="9"/>
  <c r="K306" i="9" s="1"/>
  <c r="J305" i="9"/>
  <c r="I305" i="9"/>
  <c r="H305" i="9"/>
  <c r="G305" i="9"/>
  <c r="F305" i="9"/>
  <c r="E305" i="9"/>
  <c r="K305" i="9" s="1"/>
  <c r="J304" i="9"/>
  <c r="I304" i="9"/>
  <c r="H304" i="9"/>
  <c r="G304" i="9"/>
  <c r="F304" i="9"/>
  <c r="E304" i="9"/>
  <c r="K304" i="9" s="1"/>
  <c r="J303" i="9"/>
  <c r="I303" i="9"/>
  <c r="H303" i="9"/>
  <c r="G303" i="9"/>
  <c r="F303" i="9"/>
  <c r="E303" i="9"/>
  <c r="K303" i="9" s="1"/>
  <c r="J302" i="9"/>
  <c r="I302" i="9"/>
  <c r="H302" i="9"/>
  <c r="G302" i="9"/>
  <c r="F302" i="9"/>
  <c r="E302" i="9"/>
  <c r="K302" i="9" s="1"/>
  <c r="J301" i="9"/>
  <c r="I301" i="9"/>
  <c r="H301" i="9"/>
  <c r="G301" i="9"/>
  <c r="F301" i="9"/>
  <c r="E301" i="9"/>
  <c r="K301" i="9" s="1"/>
  <c r="J300" i="9"/>
  <c r="I300" i="9"/>
  <c r="H300" i="9"/>
  <c r="G300" i="9"/>
  <c r="F300" i="9"/>
  <c r="E300" i="9"/>
  <c r="K300" i="9" s="1"/>
  <c r="I299" i="9"/>
  <c r="H299" i="9"/>
  <c r="F299" i="9"/>
  <c r="E299" i="9"/>
  <c r="K299" i="9" s="1"/>
  <c r="J298" i="9"/>
  <c r="I298" i="9"/>
  <c r="H298" i="9"/>
  <c r="G298" i="9"/>
  <c r="F298" i="9"/>
  <c r="E298" i="9"/>
  <c r="K298" i="9" s="1"/>
  <c r="J297" i="9"/>
  <c r="I297" i="9"/>
  <c r="H297" i="9"/>
  <c r="F297" i="9"/>
  <c r="E297" i="9"/>
  <c r="K297" i="9" s="1"/>
  <c r="J296" i="9"/>
  <c r="I296" i="9"/>
  <c r="H296" i="9"/>
  <c r="G296" i="9"/>
  <c r="F296" i="9"/>
  <c r="E296" i="9"/>
  <c r="K296" i="9" s="1"/>
  <c r="J295" i="9"/>
  <c r="I295" i="9"/>
  <c r="H295" i="9"/>
  <c r="G295" i="9"/>
  <c r="F295" i="9"/>
  <c r="E295" i="9"/>
  <c r="K295" i="9" s="1"/>
  <c r="J294" i="9"/>
  <c r="I294" i="9"/>
  <c r="H294" i="9"/>
  <c r="G294" i="9"/>
  <c r="F294" i="9"/>
  <c r="E294" i="9"/>
  <c r="K294" i="9" s="1"/>
  <c r="J293" i="9"/>
  <c r="I293" i="9"/>
  <c r="H293" i="9"/>
  <c r="G293" i="9"/>
  <c r="F293" i="9"/>
  <c r="E293" i="9"/>
  <c r="K293" i="9" s="1"/>
  <c r="J292" i="9"/>
  <c r="I292" i="9"/>
  <c r="H292" i="9"/>
  <c r="G292" i="9"/>
  <c r="F292" i="9"/>
  <c r="E292" i="9"/>
  <c r="K292" i="9" s="1"/>
  <c r="J291" i="9"/>
  <c r="I291" i="9"/>
  <c r="H291" i="9"/>
  <c r="G291" i="9"/>
  <c r="F291" i="9"/>
  <c r="E291" i="9"/>
  <c r="K291" i="9" s="1"/>
  <c r="J290" i="9"/>
  <c r="I290" i="9"/>
  <c r="H290" i="9"/>
  <c r="G290" i="9"/>
  <c r="F290" i="9"/>
  <c r="E290" i="9"/>
  <c r="K290" i="9" s="1"/>
  <c r="J289" i="9"/>
  <c r="I289" i="9"/>
  <c r="H289" i="9"/>
  <c r="G289" i="9"/>
  <c r="F289" i="9"/>
  <c r="E289" i="9"/>
  <c r="K289" i="9" s="1"/>
  <c r="I288" i="9"/>
  <c r="H288" i="9"/>
  <c r="F288" i="9"/>
  <c r="E288" i="9"/>
  <c r="K288" i="9" s="1"/>
  <c r="J287" i="9"/>
  <c r="I287" i="9"/>
  <c r="H287" i="9"/>
  <c r="F287" i="9"/>
  <c r="E287" i="9"/>
  <c r="K287" i="9" s="1"/>
  <c r="J286" i="9"/>
  <c r="I286" i="9"/>
  <c r="H286" i="9"/>
  <c r="G286" i="9"/>
  <c r="F286" i="9"/>
  <c r="E286" i="9"/>
  <c r="K286" i="9" s="1"/>
  <c r="J285" i="9"/>
  <c r="I285" i="9"/>
  <c r="H285" i="9"/>
  <c r="G285" i="9"/>
  <c r="F285" i="9"/>
  <c r="E285" i="9"/>
  <c r="K285" i="9" s="1"/>
  <c r="J284" i="9"/>
  <c r="I284" i="9"/>
  <c r="H284" i="9"/>
  <c r="G284" i="9"/>
  <c r="F284" i="9"/>
  <c r="E284" i="9"/>
  <c r="K284" i="9" s="1"/>
  <c r="J283" i="9"/>
  <c r="I283" i="9"/>
  <c r="H283" i="9"/>
  <c r="G283" i="9"/>
  <c r="F283" i="9"/>
  <c r="E283" i="9"/>
  <c r="K283" i="9" s="1"/>
  <c r="J282" i="9"/>
  <c r="I282" i="9"/>
  <c r="H282" i="9"/>
  <c r="G282" i="9"/>
  <c r="F282" i="9"/>
  <c r="E282" i="9"/>
  <c r="K282" i="9" s="1"/>
  <c r="J281" i="9"/>
  <c r="I281" i="9"/>
  <c r="H281" i="9"/>
  <c r="G281" i="9"/>
  <c r="F281" i="9"/>
  <c r="E281" i="9"/>
  <c r="K281" i="9" s="1"/>
  <c r="J280" i="9"/>
  <c r="I280" i="9"/>
  <c r="H280" i="9"/>
  <c r="G280" i="9"/>
  <c r="F280" i="9"/>
  <c r="E280" i="9"/>
  <c r="K280" i="9" s="1"/>
  <c r="J279" i="9"/>
  <c r="I279" i="9"/>
  <c r="H279" i="9"/>
  <c r="G279" i="9"/>
  <c r="F279" i="9"/>
  <c r="E279" i="9"/>
  <c r="K279" i="9" s="1"/>
  <c r="I278" i="9"/>
  <c r="H278" i="9"/>
  <c r="F278" i="9"/>
  <c r="E278" i="9"/>
  <c r="K278" i="9" s="1"/>
  <c r="J277" i="9"/>
  <c r="I277" i="9"/>
  <c r="H277" i="9"/>
  <c r="F277" i="9"/>
  <c r="E277" i="9"/>
  <c r="K277" i="9" s="1"/>
  <c r="J276" i="9"/>
  <c r="I276" i="9"/>
  <c r="H276" i="9"/>
  <c r="G276" i="9"/>
  <c r="F276" i="9"/>
  <c r="E276" i="9"/>
  <c r="K276" i="9" s="1"/>
  <c r="J275" i="9"/>
  <c r="I275" i="9"/>
  <c r="H275" i="9"/>
  <c r="G275" i="9"/>
  <c r="F275" i="9"/>
  <c r="E275" i="9"/>
  <c r="K275" i="9" s="1"/>
  <c r="J274" i="9"/>
  <c r="I274" i="9"/>
  <c r="H274" i="9"/>
  <c r="G274" i="9"/>
  <c r="F274" i="9"/>
  <c r="E274" i="9"/>
  <c r="K274" i="9" s="1"/>
  <c r="J273" i="9"/>
  <c r="I273" i="9"/>
  <c r="H273" i="9"/>
  <c r="G273" i="9"/>
  <c r="F273" i="9"/>
  <c r="E273" i="9"/>
  <c r="K273" i="9" s="1"/>
  <c r="J272" i="9"/>
  <c r="I272" i="9"/>
  <c r="H272" i="9"/>
  <c r="G272" i="9"/>
  <c r="F272" i="9"/>
  <c r="E272" i="9"/>
  <c r="K272" i="9" s="1"/>
  <c r="J271" i="9"/>
  <c r="I271" i="9"/>
  <c r="H271" i="9"/>
  <c r="G271" i="9"/>
  <c r="F271" i="9"/>
  <c r="E271" i="9"/>
  <c r="K271" i="9" s="1"/>
  <c r="J270" i="9"/>
  <c r="I270" i="9"/>
  <c r="H270" i="9"/>
  <c r="G270" i="9"/>
  <c r="F270" i="9"/>
  <c r="E270" i="9"/>
  <c r="K270" i="9" s="1"/>
  <c r="I269" i="9"/>
  <c r="H269" i="9"/>
  <c r="F269" i="9"/>
  <c r="E269" i="9"/>
  <c r="K269" i="9" s="1"/>
  <c r="J268" i="9"/>
  <c r="I268" i="9"/>
  <c r="H268" i="9"/>
  <c r="F268" i="9"/>
  <c r="E268" i="9"/>
  <c r="K268" i="9" s="1"/>
  <c r="J267" i="9"/>
  <c r="I267" i="9"/>
  <c r="H267" i="9"/>
  <c r="G267" i="9"/>
  <c r="F267" i="9"/>
  <c r="E267" i="9"/>
  <c r="K267" i="9" s="1"/>
  <c r="J266" i="9"/>
  <c r="I266" i="9"/>
  <c r="H266" i="9"/>
  <c r="G266" i="9"/>
  <c r="F266" i="9"/>
  <c r="E266" i="9"/>
  <c r="K266" i="9" s="1"/>
  <c r="J265" i="9"/>
  <c r="I265" i="9"/>
  <c r="H265" i="9"/>
  <c r="G265" i="9"/>
  <c r="F265" i="9"/>
  <c r="E265" i="9"/>
  <c r="K265" i="9" s="1"/>
  <c r="J264" i="9"/>
  <c r="I264" i="9"/>
  <c r="H264" i="9"/>
  <c r="G264" i="9"/>
  <c r="F264" i="9"/>
  <c r="E264" i="9"/>
  <c r="K264" i="9" s="1"/>
  <c r="J263" i="9"/>
  <c r="I263" i="9"/>
  <c r="H263" i="9"/>
  <c r="G263" i="9"/>
  <c r="F263" i="9"/>
  <c r="E263" i="9"/>
  <c r="K263" i="9" s="1"/>
  <c r="J262" i="9"/>
  <c r="I262" i="9"/>
  <c r="H262" i="9"/>
  <c r="G262" i="9"/>
  <c r="F262" i="9"/>
  <c r="E262" i="9"/>
  <c r="K262" i="9" s="1"/>
  <c r="J261" i="9"/>
  <c r="I261" i="9"/>
  <c r="H261" i="9"/>
  <c r="G261" i="9"/>
  <c r="F261" i="9"/>
  <c r="E261" i="9"/>
  <c r="K261" i="9" s="1"/>
  <c r="J260" i="9"/>
  <c r="I260" i="9"/>
  <c r="H260" i="9"/>
  <c r="G260" i="9"/>
  <c r="F260" i="9"/>
  <c r="E260" i="9"/>
  <c r="K260" i="9" s="1"/>
  <c r="I259" i="9"/>
  <c r="H259" i="9"/>
  <c r="F259" i="9"/>
  <c r="E259" i="9"/>
  <c r="K259" i="9" s="1"/>
  <c r="D259" i="9"/>
  <c r="D260" i="9" s="1"/>
  <c r="D261" i="9" s="1"/>
  <c r="D262" i="9" s="1"/>
  <c r="D263" i="9" s="1"/>
  <c r="D264" i="9" s="1"/>
  <c r="D265" i="9" s="1"/>
  <c r="D266" i="9" s="1"/>
  <c r="D267" i="9" s="1"/>
  <c r="D268" i="9" s="1"/>
  <c r="D269" i="9" s="1"/>
  <c r="D270" i="9" s="1"/>
  <c r="D271" i="9" s="1"/>
  <c r="D272" i="9" s="1"/>
  <c r="D273" i="9" s="1"/>
  <c r="D274" i="9" s="1"/>
  <c r="D275" i="9" s="1"/>
  <c r="D276" i="9" s="1"/>
  <c r="D277" i="9" s="1"/>
  <c r="D278" i="9" s="1"/>
  <c r="D279" i="9" s="1"/>
  <c r="D280" i="9" s="1"/>
  <c r="D281" i="9" s="1"/>
  <c r="D282" i="9" s="1"/>
  <c r="D283" i="9" s="1"/>
  <c r="D284" i="9" s="1"/>
  <c r="D285" i="9" s="1"/>
  <c r="D286" i="9" s="1"/>
  <c r="D287" i="9" s="1"/>
  <c r="D288" i="9" s="1"/>
  <c r="D289" i="9" s="1"/>
  <c r="D290" i="9" s="1"/>
  <c r="D291" i="9" s="1"/>
  <c r="D292" i="9" s="1"/>
  <c r="D293" i="9" s="1"/>
  <c r="D294" i="9" s="1"/>
  <c r="D295" i="9" s="1"/>
  <c r="D296" i="9" s="1"/>
  <c r="D297" i="9" s="1"/>
  <c r="D298" i="9" s="1"/>
  <c r="D299" i="9" s="1"/>
  <c r="D300" i="9" s="1"/>
  <c r="D301" i="9" s="1"/>
  <c r="D302" i="9" s="1"/>
  <c r="D303" i="9" s="1"/>
  <c r="D304" i="9" s="1"/>
  <c r="D305" i="9" s="1"/>
  <c r="D306" i="9" s="1"/>
  <c r="D307" i="9" s="1"/>
  <c r="D308" i="9" s="1"/>
  <c r="D309" i="9" s="1"/>
  <c r="D310" i="9" s="1"/>
  <c r="D311" i="9" s="1"/>
  <c r="D312" i="9" s="1"/>
  <c r="D313" i="9" s="1"/>
  <c r="D314" i="9" s="1"/>
  <c r="D315" i="9" s="1"/>
  <c r="D316" i="9" s="1"/>
  <c r="D317" i="9" s="1"/>
  <c r="D318" i="9" s="1"/>
  <c r="D319" i="9" s="1"/>
  <c r="D320" i="9" s="1"/>
  <c r="D321" i="9" s="1"/>
  <c r="D322" i="9" s="1"/>
  <c r="D323" i="9" s="1"/>
  <c r="D324" i="9" s="1"/>
  <c r="D325" i="9" s="1"/>
  <c r="D326" i="9" s="1"/>
  <c r="D327" i="9" s="1"/>
  <c r="D328" i="9" s="1"/>
  <c r="D329" i="9" s="1"/>
  <c r="D330" i="9" s="1"/>
  <c r="D331" i="9" s="1"/>
  <c r="D332" i="9" s="1"/>
  <c r="D333" i="9" s="1"/>
  <c r="D334" i="9" s="1"/>
  <c r="D335" i="9" s="1"/>
  <c r="D336" i="9" s="1"/>
  <c r="D337" i="9" s="1"/>
  <c r="D338" i="9" s="1"/>
  <c r="D339" i="9" s="1"/>
  <c r="D340" i="9" s="1"/>
  <c r="D341" i="9" s="1"/>
  <c r="D342" i="9" s="1"/>
  <c r="D343" i="9" s="1"/>
  <c r="D344" i="9" s="1"/>
  <c r="D345" i="9" s="1"/>
  <c r="D346" i="9" s="1"/>
  <c r="D347" i="9" s="1"/>
  <c r="D348" i="9" s="1"/>
  <c r="D349" i="9" s="1"/>
  <c r="D350" i="9" s="1"/>
  <c r="D351" i="9" s="1"/>
  <c r="D352" i="9" s="1"/>
  <c r="D353" i="9" s="1"/>
  <c r="D354" i="9" s="1"/>
  <c r="D355" i="9" s="1"/>
  <c r="D356" i="9" s="1"/>
  <c r="D357" i="9" s="1"/>
  <c r="D358" i="9" s="1"/>
  <c r="D359" i="9" s="1"/>
  <c r="D360" i="9" s="1"/>
  <c r="D361" i="9" s="1"/>
  <c r="D362" i="9" s="1"/>
  <c r="D363" i="9" s="1"/>
  <c r="D364" i="9" s="1"/>
  <c r="D365" i="9" s="1"/>
  <c r="D366" i="9" s="1"/>
  <c r="D367" i="9" s="1"/>
  <c r="D368" i="9" s="1"/>
  <c r="D369" i="9" s="1"/>
  <c r="D370" i="9" s="1"/>
  <c r="D371" i="9" s="1"/>
  <c r="D372" i="9" s="1"/>
  <c r="D373" i="9" s="1"/>
  <c r="D374" i="9" s="1"/>
  <c r="D375" i="9" s="1"/>
  <c r="D376" i="9" s="1"/>
  <c r="D377" i="9" s="1"/>
  <c r="D378" i="9" s="1"/>
  <c r="D379" i="9" s="1"/>
  <c r="D380" i="9" s="1"/>
  <c r="D381" i="9" s="1"/>
  <c r="D382" i="9" s="1"/>
  <c r="D383" i="9" s="1"/>
  <c r="D384" i="9" s="1"/>
  <c r="D385" i="9" s="1"/>
  <c r="D386" i="9" s="1"/>
  <c r="D387" i="9" s="1"/>
  <c r="D388" i="9" s="1"/>
  <c r="D389" i="9" s="1"/>
  <c r="D390" i="9" s="1"/>
  <c r="D391" i="9" s="1"/>
  <c r="D392" i="9" s="1"/>
  <c r="D393" i="9" s="1"/>
  <c r="D394" i="9" s="1"/>
  <c r="D395" i="9" s="1"/>
  <c r="D396" i="9" s="1"/>
  <c r="D397" i="9" s="1"/>
  <c r="D398" i="9" s="1"/>
  <c r="D399" i="9" s="1"/>
  <c r="D400" i="9" s="1"/>
  <c r="D401" i="9" s="1"/>
  <c r="D402" i="9" s="1"/>
  <c r="D403" i="9" s="1"/>
  <c r="D404" i="9" s="1"/>
  <c r="D405" i="9" s="1"/>
  <c r="D406" i="9" s="1"/>
  <c r="D407" i="9" s="1"/>
  <c r="D408" i="9" s="1"/>
  <c r="D409" i="9" s="1"/>
  <c r="D410" i="9" s="1"/>
  <c r="D411" i="9" s="1"/>
  <c r="D412" i="9" s="1"/>
  <c r="D413" i="9" s="1"/>
  <c r="D414" i="9" s="1"/>
  <c r="D415" i="9" s="1"/>
  <c r="D416" i="9" s="1"/>
  <c r="D417" i="9" s="1"/>
  <c r="D418" i="9" s="1"/>
  <c r="D419" i="9" s="1"/>
  <c r="D420" i="9" s="1"/>
  <c r="D421" i="9" s="1"/>
  <c r="D422" i="9" s="1"/>
  <c r="D423" i="9" s="1"/>
  <c r="D424" i="9" s="1"/>
  <c r="D425" i="9" s="1"/>
  <c r="D426" i="9" s="1"/>
  <c r="D427" i="9" s="1"/>
  <c r="D428" i="9" s="1"/>
  <c r="D429" i="9" s="1"/>
  <c r="D430" i="9" s="1"/>
  <c r="D431" i="9" s="1"/>
  <c r="D432" i="9" s="1"/>
  <c r="D433" i="9" s="1"/>
  <c r="D434" i="9" s="1"/>
  <c r="D435" i="9" s="1"/>
  <c r="D436" i="9" s="1"/>
  <c r="D437" i="9" s="1"/>
  <c r="D438" i="9" s="1"/>
  <c r="D439" i="9" s="1"/>
  <c r="D440" i="9" s="1"/>
  <c r="D441" i="9" s="1"/>
  <c r="D442" i="9" s="1"/>
  <c r="D443" i="9" s="1"/>
  <c r="D444" i="9" s="1"/>
  <c r="D445" i="9" s="1"/>
  <c r="D446" i="9" s="1"/>
  <c r="D447" i="9" s="1"/>
  <c r="D448" i="9" s="1"/>
  <c r="D449" i="9" s="1"/>
  <c r="D450" i="9" s="1"/>
  <c r="D451" i="9" s="1"/>
  <c r="D452" i="9" s="1"/>
  <c r="D453" i="9" s="1"/>
  <c r="D454" i="9" s="1"/>
  <c r="D455" i="9" s="1"/>
  <c r="D456" i="9" s="1"/>
  <c r="D457" i="9" s="1"/>
  <c r="D458" i="9" s="1"/>
  <c r="D459" i="9" s="1"/>
  <c r="D460" i="9" s="1"/>
  <c r="D461" i="9" s="1"/>
  <c r="D462" i="9" s="1"/>
  <c r="D463" i="9" s="1"/>
  <c r="D464" i="9" s="1"/>
  <c r="D465" i="9" s="1"/>
  <c r="D466" i="9" s="1"/>
  <c r="D467" i="9" s="1"/>
  <c r="D468" i="9" s="1"/>
  <c r="D469" i="9" s="1"/>
  <c r="D470" i="9" s="1"/>
  <c r="D471" i="9" s="1"/>
  <c r="D472" i="9" s="1"/>
  <c r="D473" i="9" s="1"/>
  <c r="D474" i="9" s="1"/>
  <c r="D475" i="9" s="1"/>
  <c r="D476" i="9" s="1"/>
  <c r="D477" i="9" s="1"/>
  <c r="D478" i="9" s="1"/>
  <c r="D479" i="9" s="1"/>
  <c r="D480" i="9" s="1"/>
  <c r="D481" i="9" s="1"/>
  <c r="D482" i="9" s="1"/>
  <c r="D483" i="9" s="1"/>
  <c r="D484" i="9" s="1"/>
  <c r="D485" i="9" s="1"/>
  <c r="D486" i="9" s="1"/>
  <c r="D487" i="9" s="1"/>
  <c r="D488" i="9" s="1"/>
  <c r="D489" i="9" s="1"/>
  <c r="D490" i="9" s="1"/>
  <c r="D491" i="9" s="1"/>
  <c r="D492" i="9" s="1"/>
  <c r="D493" i="9" s="1"/>
  <c r="D494" i="9" s="1"/>
  <c r="D495" i="9" s="1"/>
  <c r="D496" i="9" s="1"/>
  <c r="D497" i="9" s="1"/>
  <c r="D498" i="9" s="1"/>
  <c r="D499" i="9" s="1"/>
  <c r="D500" i="9" s="1"/>
  <c r="D501" i="9" s="1"/>
  <c r="D502" i="9" s="1"/>
  <c r="D503" i="9" s="1"/>
  <c r="D504" i="9" s="1"/>
  <c r="D505" i="9" s="1"/>
  <c r="D506" i="9" s="1"/>
  <c r="D507" i="9" s="1"/>
  <c r="D508" i="9" s="1"/>
  <c r="D509" i="9" s="1"/>
  <c r="D510" i="9" s="1"/>
  <c r="D511" i="9" s="1"/>
  <c r="D512" i="9" s="1"/>
  <c r="D513" i="9" s="1"/>
  <c r="D514" i="9" s="1"/>
  <c r="D515" i="9" s="1"/>
  <c r="C259" i="9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B259" i="9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J258" i="9"/>
  <c r="I258" i="9"/>
  <c r="H258" i="9"/>
  <c r="G258" i="9"/>
  <c r="F258" i="9"/>
  <c r="E258" i="9"/>
  <c r="K258" i="9" s="1"/>
  <c r="J257" i="9"/>
  <c r="I257" i="9"/>
  <c r="H257" i="9"/>
  <c r="G257" i="9"/>
  <c r="F257" i="9"/>
  <c r="E257" i="9"/>
  <c r="K257" i="9" s="1"/>
  <c r="J256" i="9"/>
  <c r="I256" i="9"/>
  <c r="H256" i="9"/>
  <c r="G256" i="9"/>
  <c r="F256" i="9"/>
  <c r="E256" i="9"/>
  <c r="K256" i="9" s="1"/>
  <c r="J255" i="9"/>
  <c r="I255" i="9"/>
  <c r="H255" i="9"/>
  <c r="G255" i="9"/>
  <c r="F255" i="9"/>
  <c r="E255" i="9"/>
  <c r="K255" i="9" s="1"/>
  <c r="J254" i="9"/>
  <c r="I254" i="9"/>
  <c r="H254" i="9"/>
  <c r="G254" i="9"/>
  <c r="F254" i="9"/>
  <c r="E254" i="9"/>
  <c r="K254" i="9" s="1"/>
  <c r="J253" i="9"/>
  <c r="I253" i="9"/>
  <c r="H253" i="9"/>
  <c r="G253" i="9"/>
  <c r="F253" i="9"/>
  <c r="E253" i="9"/>
  <c r="K253" i="9" s="1"/>
  <c r="J252" i="9"/>
  <c r="I252" i="9"/>
  <c r="H252" i="9"/>
  <c r="G252" i="9"/>
  <c r="F252" i="9"/>
  <c r="E252" i="9"/>
  <c r="K252" i="9" s="1"/>
  <c r="J251" i="9"/>
  <c r="I251" i="9"/>
  <c r="H251" i="9"/>
  <c r="G251" i="9"/>
  <c r="F251" i="9"/>
  <c r="E251" i="9"/>
  <c r="K251" i="9" s="1"/>
  <c r="J250" i="9"/>
  <c r="I250" i="9"/>
  <c r="H250" i="9"/>
  <c r="G250" i="9"/>
  <c r="F250" i="9"/>
  <c r="E250" i="9"/>
  <c r="K250" i="9" s="1"/>
  <c r="J249" i="9"/>
  <c r="I249" i="9"/>
  <c r="H249" i="9"/>
  <c r="G249" i="9"/>
  <c r="F249" i="9"/>
  <c r="E249" i="9"/>
  <c r="K249" i="9" s="1"/>
  <c r="K248" i="9"/>
  <c r="J248" i="9"/>
  <c r="I248" i="9"/>
  <c r="H248" i="9"/>
  <c r="G248" i="9"/>
  <c r="F248" i="9"/>
  <c r="E248" i="9"/>
  <c r="J247" i="9"/>
  <c r="I247" i="9"/>
  <c r="H247" i="9"/>
  <c r="G247" i="9"/>
  <c r="F247" i="9"/>
  <c r="E247" i="9"/>
  <c r="K247" i="9" s="1"/>
  <c r="J246" i="9"/>
  <c r="I246" i="9"/>
  <c r="H246" i="9"/>
  <c r="G246" i="9"/>
  <c r="F246" i="9"/>
  <c r="E246" i="9"/>
  <c r="K246" i="9" s="1"/>
  <c r="J245" i="9"/>
  <c r="I245" i="9"/>
  <c r="H245" i="9"/>
  <c r="G245" i="9"/>
  <c r="F245" i="9"/>
  <c r="E245" i="9"/>
  <c r="K245" i="9" s="1"/>
  <c r="J244" i="9"/>
  <c r="I244" i="9"/>
  <c r="H244" i="9"/>
  <c r="G244" i="9"/>
  <c r="F244" i="9"/>
  <c r="E244" i="9"/>
  <c r="K244" i="9" s="1"/>
  <c r="J243" i="9"/>
  <c r="I243" i="9"/>
  <c r="H243" i="9"/>
  <c r="G243" i="9"/>
  <c r="F243" i="9"/>
  <c r="E243" i="9"/>
  <c r="K243" i="9" s="1"/>
  <c r="J242" i="9"/>
  <c r="I242" i="9"/>
  <c r="H242" i="9"/>
  <c r="G242" i="9"/>
  <c r="F242" i="9"/>
  <c r="E242" i="9"/>
  <c r="K242" i="9" s="1"/>
  <c r="J241" i="9"/>
  <c r="I241" i="9"/>
  <c r="H241" i="9"/>
  <c r="G241" i="9"/>
  <c r="F241" i="9"/>
  <c r="E241" i="9"/>
  <c r="K241" i="9" s="1"/>
  <c r="J240" i="9"/>
  <c r="I240" i="9"/>
  <c r="H240" i="9"/>
  <c r="G240" i="9"/>
  <c r="F240" i="9"/>
  <c r="E240" i="9"/>
  <c r="K240" i="9" s="1"/>
  <c r="J239" i="9"/>
  <c r="I239" i="9"/>
  <c r="H239" i="9"/>
  <c r="G239" i="9"/>
  <c r="F239" i="9"/>
  <c r="E239" i="9"/>
  <c r="K239" i="9" s="1"/>
  <c r="J238" i="9"/>
  <c r="I238" i="9"/>
  <c r="H238" i="9"/>
  <c r="G238" i="9"/>
  <c r="F238" i="9"/>
  <c r="E238" i="9"/>
  <c r="K238" i="9" s="1"/>
  <c r="J237" i="9"/>
  <c r="I237" i="9"/>
  <c r="H237" i="9"/>
  <c r="G237" i="9"/>
  <c r="F237" i="9"/>
  <c r="E237" i="9"/>
  <c r="K237" i="9" s="1"/>
  <c r="J236" i="9"/>
  <c r="I236" i="9"/>
  <c r="H236" i="9"/>
  <c r="G236" i="9"/>
  <c r="F236" i="9"/>
  <c r="E236" i="9"/>
  <c r="K236" i="9" s="1"/>
  <c r="J235" i="9"/>
  <c r="I235" i="9"/>
  <c r="H235" i="9"/>
  <c r="G235" i="9"/>
  <c r="F235" i="9"/>
  <c r="E235" i="9"/>
  <c r="K235" i="9" s="1"/>
  <c r="J234" i="9"/>
  <c r="I234" i="9"/>
  <c r="H234" i="9"/>
  <c r="G234" i="9"/>
  <c r="F234" i="9"/>
  <c r="E234" i="9"/>
  <c r="K234" i="9" s="1"/>
  <c r="J233" i="9"/>
  <c r="I233" i="9"/>
  <c r="H233" i="9"/>
  <c r="G233" i="9"/>
  <c r="F233" i="9"/>
  <c r="E233" i="9"/>
  <c r="K233" i="9" s="1"/>
  <c r="J232" i="9"/>
  <c r="I232" i="9"/>
  <c r="H232" i="9"/>
  <c r="G232" i="9"/>
  <c r="F232" i="9"/>
  <c r="E232" i="9"/>
  <c r="K232" i="9" s="1"/>
  <c r="J231" i="9"/>
  <c r="I231" i="9"/>
  <c r="H231" i="9"/>
  <c r="G231" i="9"/>
  <c r="F231" i="9"/>
  <c r="E231" i="9"/>
  <c r="K231" i="9" s="1"/>
  <c r="J230" i="9"/>
  <c r="I230" i="9"/>
  <c r="H230" i="9"/>
  <c r="G230" i="9"/>
  <c r="F230" i="9"/>
  <c r="E230" i="9"/>
  <c r="K230" i="9" s="1"/>
  <c r="J229" i="9"/>
  <c r="I229" i="9"/>
  <c r="H229" i="9"/>
  <c r="G229" i="9"/>
  <c r="F229" i="9"/>
  <c r="E229" i="9"/>
  <c r="K229" i="9" s="1"/>
  <c r="J228" i="9"/>
  <c r="I228" i="9"/>
  <c r="H228" i="9"/>
  <c r="G228" i="9"/>
  <c r="F228" i="9"/>
  <c r="E228" i="9"/>
  <c r="K228" i="9" s="1"/>
  <c r="J227" i="9"/>
  <c r="I227" i="9"/>
  <c r="H227" i="9"/>
  <c r="G227" i="9"/>
  <c r="F227" i="9"/>
  <c r="E227" i="9"/>
  <c r="K227" i="9" s="1"/>
  <c r="J226" i="9"/>
  <c r="I226" i="9"/>
  <c r="H226" i="9"/>
  <c r="G226" i="9"/>
  <c r="F226" i="9"/>
  <c r="E226" i="9"/>
  <c r="K226" i="9" s="1"/>
  <c r="K225" i="9"/>
  <c r="J225" i="9"/>
  <c r="I225" i="9"/>
  <c r="H225" i="9"/>
  <c r="G225" i="9"/>
  <c r="F225" i="9"/>
  <c r="E225" i="9"/>
  <c r="J224" i="9"/>
  <c r="I224" i="9"/>
  <c r="H224" i="9"/>
  <c r="G224" i="9"/>
  <c r="F224" i="9"/>
  <c r="E224" i="9"/>
  <c r="K224" i="9" s="1"/>
  <c r="J223" i="9"/>
  <c r="I223" i="9"/>
  <c r="H223" i="9"/>
  <c r="G223" i="9"/>
  <c r="F223" i="9"/>
  <c r="E223" i="9"/>
  <c r="K223" i="9" s="1"/>
  <c r="J222" i="9"/>
  <c r="I222" i="9"/>
  <c r="H222" i="9"/>
  <c r="G222" i="9"/>
  <c r="F222" i="9"/>
  <c r="E222" i="9"/>
  <c r="K222" i="9" s="1"/>
  <c r="J221" i="9"/>
  <c r="I221" i="9"/>
  <c r="H221" i="9"/>
  <c r="G221" i="9"/>
  <c r="F221" i="9"/>
  <c r="E221" i="9"/>
  <c r="K221" i="9" s="1"/>
  <c r="J220" i="9"/>
  <c r="I220" i="9"/>
  <c r="H220" i="9"/>
  <c r="G220" i="9"/>
  <c r="F220" i="9"/>
  <c r="E220" i="9"/>
  <c r="K220" i="9" s="1"/>
  <c r="J219" i="9"/>
  <c r="I219" i="9"/>
  <c r="H219" i="9"/>
  <c r="G219" i="9"/>
  <c r="F219" i="9"/>
  <c r="E219" i="9"/>
  <c r="K219" i="9" s="1"/>
  <c r="J218" i="9"/>
  <c r="I218" i="9"/>
  <c r="H218" i="9"/>
  <c r="G218" i="9"/>
  <c r="F218" i="9"/>
  <c r="E218" i="9"/>
  <c r="K218" i="9" s="1"/>
  <c r="J217" i="9"/>
  <c r="I217" i="9"/>
  <c r="H217" i="9"/>
  <c r="G217" i="9"/>
  <c r="F217" i="9"/>
  <c r="E217" i="9"/>
  <c r="K217" i="9" s="1"/>
  <c r="J216" i="9"/>
  <c r="I216" i="9"/>
  <c r="H216" i="9"/>
  <c r="G216" i="9"/>
  <c r="F216" i="9"/>
  <c r="E216" i="9"/>
  <c r="K216" i="9" s="1"/>
  <c r="J215" i="9"/>
  <c r="I215" i="9"/>
  <c r="H215" i="9"/>
  <c r="G215" i="9"/>
  <c r="F215" i="9"/>
  <c r="E215" i="9"/>
  <c r="K215" i="9" s="1"/>
  <c r="J214" i="9"/>
  <c r="I214" i="9"/>
  <c r="H214" i="9"/>
  <c r="G214" i="9"/>
  <c r="F214" i="9"/>
  <c r="E214" i="9"/>
  <c r="K214" i="9" s="1"/>
  <c r="J213" i="9"/>
  <c r="I213" i="9"/>
  <c r="H213" i="9"/>
  <c r="G213" i="9"/>
  <c r="F213" i="9"/>
  <c r="E213" i="9"/>
  <c r="K213" i="9" s="1"/>
  <c r="J212" i="9"/>
  <c r="I212" i="9"/>
  <c r="H212" i="9"/>
  <c r="G212" i="9"/>
  <c r="F212" i="9"/>
  <c r="E212" i="9"/>
  <c r="K212" i="9" s="1"/>
  <c r="J211" i="9"/>
  <c r="I211" i="9"/>
  <c r="H211" i="9"/>
  <c r="G211" i="9"/>
  <c r="F211" i="9"/>
  <c r="E211" i="9"/>
  <c r="K211" i="9" s="1"/>
  <c r="J210" i="9"/>
  <c r="I210" i="9"/>
  <c r="H210" i="9"/>
  <c r="G210" i="9"/>
  <c r="F210" i="9"/>
  <c r="E210" i="9"/>
  <c r="K210" i="9" s="1"/>
  <c r="J209" i="9"/>
  <c r="I209" i="9"/>
  <c r="H209" i="9"/>
  <c r="G209" i="9"/>
  <c r="F209" i="9"/>
  <c r="E209" i="9"/>
  <c r="K209" i="9" s="1"/>
  <c r="J208" i="9"/>
  <c r="I208" i="9"/>
  <c r="H208" i="9"/>
  <c r="G208" i="9"/>
  <c r="F208" i="9"/>
  <c r="E208" i="9"/>
  <c r="K208" i="9" s="1"/>
  <c r="J207" i="9"/>
  <c r="I207" i="9"/>
  <c r="H207" i="9"/>
  <c r="G207" i="9"/>
  <c r="F207" i="9"/>
  <c r="E207" i="9"/>
  <c r="K207" i="9" s="1"/>
  <c r="J206" i="9"/>
  <c r="I206" i="9"/>
  <c r="H206" i="9"/>
  <c r="G206" i="9"/>
  <c r="F206" i="9"/>
  <c r="E206" i="9"/>
  <c r="K206" i="9" s="1"/>
  <c r="J205" i="9"/>
  <c r="I205" i="9"/>
  <c r="H205" i="9"/>
  <c r="G205" i="9"/>
  <c r="F205" i="9"/>
  <c r="E205" i="9"/>
  <c r="K205" i="9" s="1"/>
  <c r="J204" i="9"/>
  <c r="I204" i="9"/>
  <c r="H204" i="9"/>
  <c r="G204" i="9"/>
  <c r="F204" i="9"/>
  <c r="E204" i="9"/>
  <c r="K204" i="9" s="1"/>
  <c r="J203" i="9"/>
  <c r="I203" i="9"/>
  <c r="H203" i="9"/>
  <c r="G203" i="9"/>
  <c r="F203" i="9"/>
  <c r="E203" i="9"/>
  <c r="K203" i="9" s="1"/>
  <c r="J202" i="9"/>
  <c r="I202" i="9"/>
  <c r="H202" i="9"/>
  <c r="G202" i="9"/>
  <c r="F202" i="9"/>
  <c r="E202" i="9"/>
  <c r="K202" i="9" s="1"/>
  <c r="J201" i="9"/>
  <c r="I201" i="9"/>
  <c r="H201" i="9"/>
  <c r="G201" i="9"/>
  <c r="F201" i="9"/>
  <c r="E201" i="9"/>
  <c r="K201" i="9" s="1"/>
  <c r="J200" i="9"/>
  <c r="I200" i="9"/>
  <c r="H200" i="9"/>
  <c r="G200" i="9"/>
  <c r="F200" i="9"/>
  <c r="E200" i="9"/>
  <c r="K200" i="9" s="1"/>
  <c r="J199" i="9"/>
  <c r="I199" i="9"/>
  <c r="H199" i="9"/>
  <c r="G199" i="9"/>
  <c r="F199" i="9"/>
  <c r="E199" i="9"/>
  <c r="K199" i="9" s="1"/>
  <c r="J198" i="9"/>
  <c r="I198" i="9"/>
  <c r="H198" i="9"/>
  <c r="G198" i="9"/>
  <c r="F198" i="9"/>
  <c r="E198" i="9"/>
  <c r="K198" i="9" s="1"/>
  <c r="J197" i="9"/>
  <c r="I197" i="9"/>
  <c r="H197" i="9"/>
  <c r="G197" i="9"/>
  <c r="F197" i="9"/>
  <c r="E197" i="9"/>
  <c r="K197" i="9" s="1"/>
  <c r="J196" i="9"/>
  <c r="I196" i="9"/>
  <c r="H196" i="9"/>
  <c r="G196" i="9"/>
  <c r="F196" i="9"/>
  <c r="E196" i="9"/>
  <c r="K196" i="9" s="1"/>
  <c r="J195" i="9"/>
  <c r="I195" i="9"/>
  <c r="H195" i="9"/>
  <c r="G195" i="9"/>
  <c r="F195" i="9"/>
  <c r="E195" i="9"/>
  <c r="K195" i="9" s="1"/>
  <c r="J194" i="9"/>
  <c r="I194" i="9"/>
  <c r="H194" i="9"/>
  <c r="G194" i="9"/>
  <c r="F194" i="9"/>
  <c r="E194" i="9"/>
  <c r="K194" i="9" s="1"/>
  <c r="J193" i="9"/>
  <c r="I193" i="9"/>
  <c r="H193" i="9"/>
  <c r="G193" i="9"/>
  <c r="F193" i="9"/>
  <c r="E193" i="9"/>
  <c r="K193" i="9" s="1"/>
  <c r="J192" i="9"/>
  <c r="I192" i="9"/>
  <c r="H192" i="9"/>
  <c r="G192" i="9"/>
  <c r="F192" i="9"/>
  <c r="E192" i="9"/>
  <c r="K192" i="9" s="1"/>
  <c r="J191" i="9"/>
  <c r="I191" i="9"/>
  <c r="H191" i="9"/>
  <c r="G191" i="9"/>
  <c r="F191" i="9"/>
  <c r="E191" i="9"/>
  <c r="K191" i="9" s="1"/>
  <c r="J190" i="9"/>
  <c r="I190" i="9"/>
  <c r="H190" i="9"/>
  <c r="G190" i="9"/>
  <c r="F190" i="9"/>
  <c r="E190" i="9"/>
  <c r="K190" i="9" s="1"/>
  <c r="J189" i="9"/>
  <c r="I189" i="9"/>
  <c r="H189" i="9"/>
  <c r="G189" i="9"/>
  <c r="F189" i="9"/>
  <c r="E189" i="9"/>
  <c r="K189" i="9" s="1"/>
  <c r="J188" i="9"/>
  <c r="I188" i="9"/>
  <c r="H188" i="9"/>
  <c r="G188" i="9"/>
  <c r="F188" i="9"/>
  <c r="E188" i="9"/>
  <c r="K188" i="9" s="1"/>
  <c r="J187" i="9"/>
  <c r="I187" i="9"/>
  <c r="H187" i="9"/>
  <c r="G187" i="9"/>
  <c r="F187" i="9"/>
  <c r="E187" i="9"/>
  <c r="K187" i="9" s="1"/>
  <c r="J186" i="9"/>
  <c r="I186" i="9"/>
  <c r="H186" i="9"/>
  <c r="G186" i="9"/>
  <c r="F186" i="9"/>
  <c r="E186" i="9"/>
  <c r="K186" i="9" s="1"/>
  <c r="J185" i="9"/>
  <c r="I185" i="9"/>
  <c r="H185" i="9"/>
  <c r="G185" i="9"/>
  <c r="F185" i="9"/>
  <c r="E185" i="9"/>
  <c r="K185" i="9" s="1"/>
  <c r="J184" i="9"/>
  <c r="I184" i="9"/>
  <c r="H184" i="9"/>
  <c r="G184" i="9"/>
  <c r="F184" i="9"/>
  <c r="E184" i="9"/>
  <c r="K184" i="9" s="1"/>
  <c r="J183" i="9"/>
  <c r="I183" i="9"/>
  <c r="H183" i="9"/>
  <c r="G183" i="9"/>
  <c r="F183" i="9"/>
  <c r="E183" i="9"/>
  <c r="K183" i="9" s="1"/>
  <c r="J182" i="9"/>
  <c r="I182" i="9"/>
  <c r="H182" i="9"/>
  <c r="G182" i="9"/>
  <c r="F182" i="9"/>
  <c r="E182" i="9"/>
  <c r="K182" i="9" s="1"/>
  <c r="J181" i="9"/>
  <c r="I181" i="9"/>
  <c r="H181" i="9"/>
  <c r="G181" i="9"/>
  <c r="F181" i="9"/>
  <c r="E181" i="9"/>
  <c r="K181" i="9" s="1"/>
  <c r="J180" i="9"/>
  <c r="I180" i="9"/>
  <c r="H180" i="9"/>
  <c r="G180" i="9"/>
  <c r="F180" i="9"/>
  <c r="E180" i="9"/>
  <c r="K180" i="9" s="1"/>
  <c r="J179" i="9"/>
  <c r="I179" i="9"/>
  <c r="H179" i="9"/>
  <c r="G179" i="9"/>
  <c r="F179" i="9"/>
  <c r="E179" i="9"/>
  <c r="K179" i="9" s="1"/>
  <c r="J178" i="9"/>
  <c r="I178" i="9"/>
  <c r="H178" i="9"/>
  <c r="G178" i="9"/>
  <c r="F178" i="9"/>
  <c r="E178" i="9"/>
  <c r="K178" i="9" s="1"/>
  <c r="J177" i="9"/>
  <c r="I177" i="9"/>
  <c r="H177" i="9"/>
  <c r="G177" i="9"/>
  <c r="F177" i="9"/>
  <c r="E177" i="9"/>
  <c r="K177" i="9" s="1"/>
  <c r="J176" i="9"/>
  <c r="I176" i="9"/>
  <c r="H176" i="9"/>
  <c r="G176" i="9"/>
  <c r="F176" i="9"/>
  <c r="E176" i="9"/>
  <c r="K176" i="9" s="1"/>
  <c r="J175" i="9"/>
  <c r="I175" i="9"/>
  <c r="H175" i="9"/>
  <c r="G175" i="9"/>
  <c r="F175" i="9"/>
  <c r="E175" i="9"/>
  <c r="K175" i="9" s="1"/>
  <c r="J174" i="9"/>
  <c r="I174" i="9"/>
  <c r="H174" i="9"/>
  <c r="G174" i="9"/>
  <c r="F174" i="9"/>
  <c r="E174" i="9"/>
  <c r="K174" i="9" s="1"/>
  <c r="J173" i="9"/>
  <c r="I173" i="9"/>
  <c r="H173" i="9"/>
  <c r="G173" i="9"/>
  <c r="F173" i="9"/>
  <c r="E173" i="9"/>
  <c r="K173" i="9" s="1"/>
  <c r="J172" i="9"/>
  <c r="I172" i="9"/>
  <c r="H172" i="9"/>
  <c r="G172" i="9"/>
  <c r="F172" i="9"/>
  <c r="E172" i="9"/>
  <c r="K172" i="9" s="1"/>
  <c r="J171" i="9"/>
  <c r="I171" i="9"/>
  <c r="H171" i="9"/>
  <c r="G171" i="9"/>
  <c r="F171" i="9"/>
  <c r="E171" i="9"/>
  <c r="K171" i="9" s="1"/>
  <c r="J170" i="9"/>
  <c r="I170" i="9"/>
  <c r="H170" i="9"/>
  <c r="G170" i="9"/>
  <c r="F170" i="9"/>
  <c r="E170" i="9"/>
  <c r="K170" i="9" s="1"/>
  <c r="J169" i="9"/>
  <c r="I169" i="9"/>
  <c r="H169" i="9"/>
  <c r="G169" i="9"/>
  <c r="F169" i="9"/>
  <c r="E169" i="9"/>
  <c r="K169" i="9" s="1"/>
  <c r="J168" i="9"/>
  <c r="I168" i="9"/>
  <c r="H168" i="9"/>
  <c r="G168" i="9"/>
  <c r="F168" i="9"/>
  <c r="E168" i="9"/>
  <c r="K168" i="9" s="1"/>
  <c r="J167" i="9"/>
  <c r="I167" i="9"/>
  <c r="H167" i="9"/>
  <c r="G167" i="9"/>
  <c r="F167" i="9"/>
  <c r="E167" i="9"/>
  <c r="K167" i="9" s="1"/>
  <c r="J166" i="9"/>
  <c r="I166" i="9"/>
  <c r="H166" i="9"/>
  <c r="G166" i="9"/>
  <c r="F166" i="9"/>
  <c r="E166" i="9"/>
  <c r="K166" i="9" s="1"/>
  <c r="J165" i="9"/>
  <c r="I165" i="9"/>
  <c r="H165" i="9"/>
  <c r="G165" i="9"/>
  <c r="F165" i="9"/>
  <c r="E165" i="9"/>
  <c r="K165" i="9" s="1"/>
  <c r="J164" i="9"/>
  <c r="I164" i="9"/>
  <c r="H164" i="9"/>
  <c r="G164" i="9"/>
  <c r="F164" i="9"/>
  <c r="E164" i="9"/>
  <c r="K164" i="9" s="1"/>
  <c r="J163" i="9"/>
  <c r="I163" i="9"/>
  <c r="H163" i="9"/>
  <c r="G163" i="9"/>
  <c r="F163" i="9"/>
  <c r="E163" i="9"/>
  <c r="K163" i="9" s="1"/>
  <c r="J162" i="9"/>
  <c r="I162" i="9"/>
  <c r="H162" i="9"/>
  <c r="G162" i="9"/>
  <c r="F162" i="9"/>
  <c r="E162" i="9"/>
  <c r="K162" i="9" s="1"/>
  <c r="J161" i="9"/>
  <c r="I161" i="9"/>
  <c r="H161" i="9"/>
  <c r="G161" i="9"/>
  <c r="F161" i="9"/>
  <c r="E161" i="9"/>
  <c r="K161" i="9" s="1"/>
  <c r="J160" i="9"/>
  <c r="I160" i="9"/>
  <c r="H160" i="9"/>
  <c r="G160" i="9"/>
  <c r="F160" i="9"/>
  <c r="E160" i="9"/>
  <c r="K160" i="9" s="1"/>
  <c r="J159" i="9"/>
  <c r="I159" i="9"/>
  <c r="H159" i="9"/>
  <c r="G159" i="9"/>
  <c r="F159" i="9"/>
  <c r="E159" i="9"/>
  <c r="K159" i="9" s="1"/>
  <c r="J158" i="9"/>
  <c r="I158" i="9"/>
  <c r="H158" i="9"/>
  <c r="G158" i="9"/>
  <c r="F158" i="9"/>
  <c r="E158" i="9"/>
  <c r="K158" i="9" s="1"/>
  <c r="J157" i="9"/>
  <c r="I157" i="9"/>
  <c r="H157" i="9"/>
  <c r="G157" i="9"/>
  <c r="F157" i="9"/>
  <c r="E157" i="9"/>
  <c r="K157" i="9" s="1"/>
  <c r="J156" i="9"/>
  <c r="I156" i="9"/>
  <c r="H156" i="9"/>
  <c r="G156" i="9"/>
  <c r="F156" i="9"/>
  <c r="E156" i="9"/>
  <c r="K156" i="9" s="1"/>
  <c r="J155" i="9"/>
  <c r="I155" i="9"/>
  <c r="H155" i="9"/>
  <c r="G155" i="9"/>
  <c r="F155" i="9"/>
  <c r="E155" i="9"/>
  <c r="K155" i="9" s="1"/>
  <c r="J154" i="9"/>
  <c r="I154" i="9"/>
  <c r="H154" i="9"/>
  <c r="G154" i="9"/>
  <c r="F154" i="9"/>
  <c r="E154" i="9"/>
  <c r="K154" i="9" s="1"/>
  <c r="J153" i="9"/>
  <c r="I153" i="9"/>
  <c r="H153" i="9"/>
  <c r="G153" i="9"/>
  <c r="F153" i="9"/>
  <c r="E153" i="9"/>
  <c r="K153" i="9" s="1"/>
  <c r="J152" i="9"/>
  <c r="I152" i="9"/>
  <c r="H152" i="9"/>
  <c r="G152" i="9"/>
  <c r="F152" i="9"/>
  <c r="E152" i="9"/>
  <c r="K152" i="9" s="1"/>
  <c r="J151" i="9"/>
  <c r="I151" i="9"/>
  <c r="H151" i="9"/>
  <c r="G151" i="9"/>
  <c r="F151" i="9"/>
  <c r="E151" i="9"/>
  <c r="K151" i="9" s="1"/>
  <c r="J150" i="9"/>
  <c r="I150" i="9"/>
  <c r="H150" i="9"/>
  <c r="G150" i="9"/>
  <c r="F150" i="9"/>
  <c r="E150" i="9"/>
  <c r="K150" i="9" s="1"/>
  <c r="J149" i="9"/>
  <c r="I149" i="9"/>
  <c r="H149" i="9"/>
  <c r="G149" i="9"/>
  <c r="F149" i="9"/>
  <c r="E149" i="9"/>
  <c r="K149" i="9" s="1"/>
  <c r="J148" i="9"/>
  <c r="I148" i="9"/>
  <c r="H148" i="9"/>
  <c r="G148" i="9"/>
  <c r="F148" i="9"/>
  <c r="E148" i="9"/>
  <c r="K148" i="9" s="1"/>
  <c r="J147" i="9"/>
  <c r="I147" i="9"/>
  <c r="H147" i="9"/>
  <c r="G147" i="9"/>
  <c r="F147" i="9"/>
  <c r="E147" i="9"/>
  <c r="K147" i="9" s="1"/>
  <c r="J146" i="9"/>
  <c r="I146" i="9"/>
  <c r="H146" i="9"/>
  <c r="G146" i="9"/>
  <c r="F146" i="9"/>
  <c r="E146" i="9"/>
  <c r="K146" i="9" s="1"/>
  <c r="J145" i="9"/>
  <c r="I145" i="9"/>
  <c r="H145" i="9"/>
  <c r="G145" i="9"/>
  <c r="F145" i="9"/>
  <c r="E145" i="9"/>
  <c r="K145" i="9" s="1"/>
  <c r="J144" i="9"/>
  <c r="I144" i="9"/>
  <c r="H144" i="9"/>
  <c r="G144" i="9"/>
  <c r="F144" i="9"/>
  <c r="E144" i="9"/>
  <c r="K144" i="9" s="1"/>
  <c r="J143" i="9"/>
  <c r="I143" i="9"/>
  <c r="H143" i="9"/>
  <c r="G143" i="9"/>
  <c r="F143" i="9"/>
  <c r="E143" i="9"/>
  <c r="K143" i="9" s="1"/>
  <c r="J142" i="9"/>
  <c r="I142" i="9"/>
  <c r="H142" i="9"/>
  <c r="G142" i="9"/>
  <c r="F142" i="9"/>
  <c r="E142" i="9"/>
  <c r="K142" i="9" s="1"/>
  <c r="J141" i="9"/>
  <c r="I141" i="9"/>
  <c r="H141" i="9"/>
  <c r="G141" i="9"/>
  <c r="F141" i="9"/>
  <c r="E141" i="9"/>
  <c r="K141" i="9" s="1"/>
  <c r="K140" i="9"/>
  <c r="J140" i="9"/>
  <c r="I140" i="9"/>
  <c r="H140" i="9"/>
  <c r="G140" i="9"/>
  <c r="F140" i="9"/>
  <c r="E140" i="9"/>
  <c r="J139" i="9"/>
  <c r="I139" i="9"/>
  <c r="H139" i="9"/>
  <c r="G139" i="9"/>
  <c r="F139" i="9"/>
  <c r="E139" i="9"/>
  <c r="K139" i="9" s="1"/>
  <c r="J138" i="9"/>
  <c r="I138" i="9"/>
  <c r="H138" i="9"/>
  <c r="G138" i="9"/>
  <c r="F138" i="9"/>
  <c r="E138" i="9"/>
  <c r="K138" i="9" s="1"/>
  <c r="J137" i="9"/>
  <c r="I137" i="9"/>
  <c r="H137" i="9"/>
  <c r="G137" i="9"/>
  <c r="F137" i="9"/>
  <c r="E137" i="9"/>
  <c r="K137" i="9" s="1"/>
  <c r="K136" i="9"/>
  <c r="J136" i="9"/>
  <c r="I136" i="9"/>
  <c r="H136" i="9"/>
  <c r="G136" i="9"/>
  <c r="F136" i="9"/>
  <c r="E136" i="9"/>
  <c r="J135" i="9"/>
  <c r="I135" i="9"/>
  <c r="H135" i="9"/>
  <c r="G135" i="9"/>
  <c r="F135" i="9"/>
  <c r="E135" i="9"/>
  <c r="K135" i="9" s="1"/>
  <c r="J134" i="9"/>
  <c r="I134" i="9"/>
  <c r="H134" i="9"/>
  <c r="G134" i="9"/>
  <c r="F134" i="9"/>
  <c r="E134" i="9"/>
  <c r="K134" i="9" s="1"/>
  <c r="J133" i="9"/>
  <c r="I133" i="9"/>
  <c r="H133" i="9"/>
  <c r="G133" i="9"/>
  <c r="F133" i="9"/>
  <c r="E133" i="9"/>
  <c r="K133" i="9" s="1"/>
  <c r="J132" i="9"/>
  <c r="I132" i="9"/>
  <c r="H132" i="9"/>
  <c r="G132" i="9"/>
  <c r="F132" i="9"/>
  <c r="E132" i="9"/>
  <c r="K132" i="9" s="1"/>
  <c r="K131" i="9"/>
  <c r="J131" i="9"/>
  <c r="I131" i="9"/>
  <c r="H131" i="9"/>
  <c r="G131" i="9"/>
  <c r="F131" i="9"/>
  <c r="E131" i="9"/>
  <c r="J130" i="9"/>
  <c r="I130" i="9"/>
  <c r="H130" i="9"/>
  <c r="G130" i="9"/>
  <c r="F130" i="9"/>
  <c r="E130" i="9"/>
  <c r="K130" i="9" s="1"/>
  <c r="J129" i="9"/>
  <c r="I129" i="9"/>
  <c r="H129" i="9"/>
  <c r="G129" i="9"/>
  <c r="F129" i="9"/>
  <c r="E129" i="9"/>
  <c r="K129" i="9" s="1"/>
  <c r="J128" i="9"/>
  <c r="I128" i="9"/>
  <c r="H128" i="9"/>
  <c r="G128" i="9"/>
  <c r="F128" i="9"/>
  <c r="E128" i="9"/>
  <c r="K128" i="9" s="1"/>
  <c r="K127" i="9"/>
  <c r="J127" i="9"/>
  <c r="I127" i="9"/>
  <c r="H127" i="9"/>
  <c r="G127" i="9"/>
  <c r="F127" i="9"/>
  <c r="E127" i="9"/>
  <c r="J126" i="9"/>
  <c r="I126" i="9"/>
  <c r="H126" i="9"/>
  <c r="G126" i="9"/>
  <c r="F126" i="9"/>
  <c r="E126" i="9"/>
  <c r="K126" i="9" s="1"/>
  <c r="J125" i="9"/>
  <c r="I125" i="9"/>
  <c r="H125" i="9"/>
  <c r="G125" i="9"/>
  <c r="F125" i="9"/>
  <c r="E125" i="9"/>
  <c r="K125" i="9" s="1"/>
  <c r="J124" i="9"/>
  <c r="I124" i="9"/>
  <c r="H124" i="9"/>
  <c r="G124" i="9"/>
  <c r="F124" i="9"/>
  <c r="E124" i="9"/>
  <c r="K124" i="9" s="1"/>
  <c r="J123" i="9"/>
  <c r="I123" i="9"/>
  <c r="H123" i="9"/>
  <c r="G123" i="9"/>
  <c r="F123" i="9"/>
  <c r="E123" i="9"/>
  <c r="K123" i="9" s="1"/>
  <c r="J122" i="9"/>
  <c r="I122" i="9"/>
  <c r="H122" i="9"/>
  <c r="G122" i="9"/>
  <c r="F122" i="9"/>
  <c r="E122" i="9"/>
  <c r="K122" i="9" s="1"/>
  <c r="J121" i="9"/>
  <c r="I121" i="9"/>
  <c r="H121" i="9"/>
  <c r="G121" i="9"/>
  <c r="F121" i="9"/>
  <c r="E121" i="9"/>
  <c r="K121" i="9" s="1"/>
  <c r="J120" i="9"/>
  <c r="I120" i="9"/>
  <c r="H120" i="9"/>
  <c r="G120" i="9"/>
  <c r="F120" i="9"/>
  <c r="E120" i="9"/>
  <c r="K120" i="9" s="1"/>
  <c r="J119" i="9"/>
  <c r="I119" i="9"/>
  <c r="H119" i="9"/>
  <c r="G119" i="9"/>
  <c r="F119" i="9"/>
  <c r="E119" i="9"/>
  <c r="K119" i="9" s="1"/>
  <c r="K118" i="9"/>
  <c r="J118" i="9"/>
  <c r="I118" i="9"/>
  <c r="H118" i="9"/>
  <c r="G118" i="9"/>
  <c r="F118" i="9"/>
  <c r="E118" i="9"/>
  <c r="J117" i="9"/>
  <c r="I117" i="9"/>
  <c r="H117" i="9"/>
  <c r="G117" i="9"/>
  <c r="F117" i="9"/>
  <c r="E117" i="9"/>
  <c r="K117" i="9" s="1"/>
  <c r="J116" i="9"/>
  <c r="I116" i="9"/>
  <c r="H116" i="9"/>
  <c r="G116" i="9"/>
  <c r="F116" i="9"/>
  <c r="E116" i="9"/>
  <c r="K116" i="9" s="1"/>
  <c r="J115" i="9"/>
  <c r="I115" i="9"/>
  <c r="H115" i="9"/>
  <c r="G115" i="9"/>
  <c r="F115" i="9"/>
  <c r="E115" i="9"/>
  <c r="K115" i="9" s="1"/>
  <c r="J114" i="9"/>
  <c r="I114" i="9"/>
  <c r="H114" i="9"/>
  <c r="G114" i="9"/>
  <c r="F114" i="9"/>
  <c r="E114" i="9"/>
  <c r="K114" i="9" s="1"/>
  <c r="J113" i="9"/>
  <c r="I113" i="9"/>
  <c r="H113" i="9"/>
  <c r="G113" i="9"/>
  <c r="F113" i="9"/>
  <c r="E113" i="9"/>
  <c r="K113" i="9" s="1"/>
  <c r="J112" i="9"/>
  <c r="I112" i="9"/>
  <c r="H112" i="9"/>
  <c r="G112" i="9"/>
  <c r="F112" i="9"/>
  <c r="E112" i="9"/>
  <c r="K112" i="9" s="1"/>
  <c r="J111" i="9"/>
  <c r="I111" i="9"/>
  <c r="H111" i="9"/>
  <c r="G111" i="9"/>
  <c r="F111" i="9"/>
  <c r="E111" i="9"/>
  <c r="K111" i="9" s="1"/>
  <c r="J110" i="9"/>
  <c r="I110" i="9"/>
  <c r="H110" i="9"/>
  <c r="G110" i="9"/>
  <c r="F110" i="9"/>
  <c r="E110" i="9"/>
  <c r="K110" i="9" s="1"/>
  <c r="J109" i="9"/>
  <c r="I109" i="9"/>
  <c r="H109" i="9"/>
  <c r="G109" i="9"/>
  <c r="F109" i="9"/>
  <c r="E109" i="9"/>
  <c r="K109" i="9" s="1"/>
  <c r="J108" i="9"/>
  <c r="I108" i="9"/>
  <c r="H108" i="9"/>
  <c r="G108" i="9"/>
  <c r="F108" i="9"/>
  <c r="E108" i="9"/>
  <c r="K108" i="9" s="1"/>
  <c r="J107" i="9"/>
  <c r="I107" i="9"/>
  <c r="H107" i="9"/>
  <c r="G107" i="9"/>
  <c r="F107" i="9"/>
  <c r="E107" i="9"/>
  <c r="K107" i="9" s="1"/>
  <c r="J106" i="9"/>
  <c r="I106" i="9"/>
  <c r="H106" i="9"/>
  <c r="G106" i="9"/>
  <c r="F106" i="9"/>
  <c r="E106" i="9"/>
  <c r="K106" i="9" s="1"/>
  <c r="J105" i="9"/>
  <c r="I105" i="9"/>
  <c r="H105" i="9"/>
  <c r="G105" i="9"/>
  <c r="F105" i="9"/>
  <c r="E105" i="9"/>
  <c r="K105" i="9" s="1"/>
  <c r="J104" i="9"/>
  <c r="I104" i="9"/>
  <c r="H104" i="9"/>
  <c r="G104" i="9"/>
  <c r="F104" i="9"/>
  <c r="E104" i="9"/>
  <c r="K104" i="9" s="1"/>
  <c r="J103" i="9"/>
  <c r="I103" i="9"/>
  <c r="H103" i="9"/>
  <c r="G103" i="9"/>
  <c r="F103" i="9"/>
  <c r="E103" i="9"/>
  <c r="K103" i="9" s="1"/>
  <c r="J102" i="9"/>
  <c r="I102" i="9"/>
  <c r="H102" i="9"/>
  <c r="G102" i="9"/>
  <c r="F102" i="9"/>
  <c r="E102" i="9"/>
  <c r="K102" i="9" s="1"/>
  <c r="J101" i="9"/>
  <c r="I101" i="9"/>
  <c r="H101" i="9"/>
  <c r="G101" i="9"/>
  <c r="F101" i="9"/>
  <c r="E101" i="9"/>
  <c r="K101" i="9" s="1"/>
  <c r="J100" i="9"/>
  <c r="I100" i="9"/>
  <c r="H100" i="9"/>
  <c r="G100" i="9"/>
  <c r="F100" i="9"/>
  <c r="E100" i="9"/>
  <c r="K100" i="9" s="1"/>
  <c r="J99" i="9"/>
  <c r="I99" i="9"/>
  <c r="H99" i="9"/>
  <c r="G99" i="9"/>
  <c r="F99" i="9"/>
  <c r="E99" i="9"/>
  <c r="K99" i="9" s="1"/>
  <c r="J98" i="9"/>
  <c r="I98" i="9"/>
  <c r="H98" i="9"/>
  <c r="G98" i="9"/>
  <c r="F98" i="9"/>
  <c r="E98" i="9"/>
  <c r="K98" i="9" s="1"/>
  <c r="J97" i="9"/>
  <c r="I97" i="9"/>
  <c r="H97" i="9"/>
  <c r="G97" i="9"/>
  <c r="F97" i="9"/>
  <c r="E97" i="9"/>
  <c r="K97" i="9" s="1"/>
  <c r="J96" i="9"/>
  <c r="I96" i="9"/>
  <c r="H96" i="9"/>
  <c r="G96" i="9"/>
  <c r="F96" i="9"/>
  <c r="E96" i="9"/>
  <c r="K96" i="9" s="1"/>
  <c r="K95" i="9"/>
  <c r="J95" i="9"/>
  <c r="I95" i="9"/>
  <c r="H95" i="9"/>
  <c r="G95" i="9"/>
  <c r="F95" i="9"/>
  <c r="E95" i="9"/>
  <c r="J94" i="9"/>
  <c r="I94" i="9"/>
  <c r="H94" i="9"/>
  <c r="G94" i="9"/>
  <c r="F94" i="9"/>
  <c r="E94" i="9"/>
  <c r="K94" i="9" s="1"/>
  <c r="K93" i="9"/>
  <c r="J93" i="9"/>
  <c r="I93" i="9"/>
  <c r="H93" i="9"/>
  <c r="G93" i="9"/>
  <c r="F93" i="9"/>
  <c r="E93" i="9"/>
  <c r="J92" i="9"/>
  <c r="I92" i="9"/>
  <c r="H92" i="9"/>
  <c r="G92" i="9"/>
  <c r="F92" i="9"/>
  <c r="E92" i="9"/>
  <c r="K92" i="9" s="1"/>
  <c r="J91" i="9"/>
  <c r="I91" i="9"/>
  <c r="H91" i="9"/>
  <c r="G91" i="9"/>
  <c r="F91" i="9"/>
  <c r="E91" i="9"/>
  <c r="K91" i="9" s="1"/>
  <c r="J90" i="9"/>
  <c r="I90" i="9"/>
  <c r="H90" i="9"/>
  <c r="G90" i="9"/>
  <c r="F90" i="9"/>
  <c r="E90" i="9"/>
  <c r="K90" i="9" s="1"/>
  <c r="J89" i="9"/>
  <c r="I89" i="9"/>
  <c r="H89" i="9"/>
  <c r="G89" i="9"/>
  <c r="F89" i="9"/>
  <c r="E89" i="9"/>
  <c r="K89" i="9" s="1"/>
  <c r="J88" i="9"/>
  <c r="I88" i="9"/>
  <c r="H88" i="9"/>
  <c r="G88" i="9"/>
  <c r="F88" i="9"/>
  <c r="E88" i="9"/>
  <c r="K88" i="9" s="1"/>
  <c r="J87" i="9"/>
  <c r="I87" i="9"/>
  <c r="H87" i="9"/>
  <c r="G87" i="9"/>
  <c r="F87" i="9"/>
  <c r="E87" i="9"/>
  <c r="K87" i="9" s="1"/>
  <c r="J86" i="9"/>
  <c r="I86" i="9"/>
  <c r="H86" i="9"/>
  <c r="G86" i="9"/>
  <c r="F86" i="9"/>
  <c r="E86" i="9"/>
  <c r="K86" i="9" s="1"/>
  <c r="J85" i="9"/>
  <c r="I85" i="9"/>
  <c r="H85" i="9"/>
  <c r="G85" i="9"/>
  <c r="F85" i="9"/>
  <c r="E85" i="9"/>
  <c r="K85" i="9" s="1"/>
  <c r="K84" i="9"/>
  <c r="J84" i="9"/>
  <c r="I84" i="9"/>
  <c r="H84" i="9"/>
  <c r="G84" i="9"/>
  <c r="F84" i="9"/>
  <c r="E84" i="9"/>
  <c r="J83" i="9"/>
  <c r="I83" i="9"/>
  <c r="H83" i="9"/>
  <c r="G83" i="9"/>
  <c r="F83" i="9"/>
  <c r="E83" i="9"/>
  <c r="K83" i="9" s="1"/>
  <c r="J82" i="9"/>
  <c r="I82" i="9"/>
  <c r="H82" i="9"/>
  <c r="G82" i="9"/>
  <c r="F82" i="9"/>
  <c r="E82" i="9"/>
  <c r="K82" i="9" s="1"/>
  <c r="J81" i="9"/>
  <c r="I81" i="9"/>
  <c r="H81" i="9"/>
  <c r="G81" i="9"/>
  <c r="F81" i="9"/>
  <c r="E81" i="9"/>
  <c r="K81" i="9" s="1"/>
  <c r="K80" i="9"/>
  <c r="J80" i="9"/>
  <c r="I80" i="9"/>
  <c r="H80" i="9"/>
  <c r="G80" i="9"/>
  <c r="F80" i="9"/>
  <c r="E80" i="9"/>
  <c r="J79" i="9"/>
  <c r="I79" i="9"/>
  <c r="H79" i="9"/>
  <c r="G79" i="9"/>
  <c r="F79" i="9"/>
  <c r="E79" i="9"/>
  <c r="K79" i="9" s="1"/>
  <c r="J78" i="9"/>
  <c r="I78" i="9"/>
  <c r="H78" i="9"/>
  <c r="G78" i="9"/>
  <c r="F78" i="9"/>
  <c r="E78" i="9"/>
  <c r="K78" i="9" s="1"/>
  <c r="J77" i="9"/>
  <c r="I77" i="9"/>
  <c r="H77" i="9"/>
  <c r="G77" i="9"/>
  <c r="F77" i="9"/>
  <c r="E77" i="9"/>
  <c r="K77" i="9" s="1"/>
  <c r="J76" i="9"/>
  <c r="I76" i="9"/>
  <c r="H76" i="9"/>
  <c r="G76" i="9"/>
  <c r="F76" i="9"/>
  <c r="E76" i="9"/>
  <c r="K76" i="9" s="1"/>
  <c r="J75" i="9"/>
  <c r="I75" i="9"/>
  <c r="H75" i="9"/>
  <c r="G75" i="9"/>
  <c r="F75" i="9"/>
  <c r="E75" i="9"/>
  <c r="K75" i="9" s="1"/>
  <c r="J74" i="9"/>
  <c r="I74" i="9"/>
  <c r="H74" i="9"/>
  <c r="G74" i="9"/>
  <c r="F74" i="9"/>
  <c r="E74" i="9"/>
  <c r="K74" i="9" s="1"/>
  <c r="I73" i="9"/>
  <c r="H73" i="9"/>
  <c r="F73" i="9"/>
  <c r="E73" i="9"/>
  <c r="K73" i="9" s="1"/>
  <c r="J72" i="9"/>
  <c r="I72" i="9"/>
  <c r="H72" i="9"/>
  <c r="G72" i="9"/>
  <c r="F72" i="9"/>
  <c r="E72" i="9"/>
  <c r="K72" i="9" s="1"/>
  <c r="J71" i="9"/>
  <c r="I71" i="9"/>
  <c r="H71" i="9"/>
  <c r="F71" i="9"/>
  <c r="E71" i="9"/>
  <c r="K71" i="9" s="1"/>
  <c r="J70" i="9"/>
  <c r="I70" i="9"/>
  <c r="H70" i="9"/>
  <c r="G70" i="9"/>
  <c r="F70" i="9"/>
  <c r="E70" i="9"/>
  <c r="K70" i="9" s="1"/>
  <c r="J69" i="9"/>
  <c r="I69" i="9"/>
  <c r="H69" i="9"/>
  <c r="G69" i="9"/>
  <c r="F69" i="9"/>
  <c r="E69" i="9"/>
  <c r="K69" i="9" s="1"/>
  <c r="J68" i="9"/>
  <c r="I68" i="9"/>
  <c r="H68" i="9"/>
  <c r="G68" i="9"/>
  <c r="F68" i="9"/>
  <c r="E68" i="9"/>
  <c r="K68" i="9" s="1"/>
  <c r="J67" i="9"/>
  <c r="I67" i="9"/>
  <c r="H67" i="9"/>
  <c r="G67" i="9"/>
  <c r="F67" i="9"/>
  <c r="E67" i="9"/>
  <c r="K67" i="9" s="1"/>
  <c r="J66" i="9"/>
  <c r="I66" i="9"/>
  <c r="H66" i="9"/>
  <c r="G66" i="9"/>
  <c r="F66" i="9"/>
  <c r="E66" i="9"/>
  <c r="K66" i="9" s="1"/>
  <c r="J65" i="9"/>
  <c r="I65" i="9"/>
  <c r="H65" i="9"/>
  <c r="G65" i="9"/>
  <c r="F65" i="9"/>
  <c r="E65" i="9"/>
  <c r="K65" i="9" s="1"/>
  <c r="J64" i="9"/>
  <c r="I64" i="9"/>
  <c r="H64" i="9"/>
  <c r="G64" i="9"/>
  <c r="F64" i="9"/>
  <c r="E64" i="9"/>
  <c r="K64" i="9" s="1"/>
  <c r="J63" i="9"/>
  <c r="I63" i="9"/>
  <c r="H63" i="9"/>
  <c r="G63" i="9"/>
  <c r="F63" i="9"/>
  <c r="E63" i="9"/>
  <c r="K63" i="9" s="1"/>
  <c r="J62" i="9"/>
  <c r="I62" i="9"/>
  <c r="H62" i="9"/>
  <c r="G62" i="9"/>
  <c r="F62" i="9"/>
  <c r="E62" i="9"/>
  <c r="K62" i="9" s="1"/>
  <c r="J61" i="9"/>
  <c r="I61" i="9"/>
  <c r="H61" i="9"/>
  <c r="G61" i="9"/>
  <c r="F61" i="9"/>
  <c r="E61" i="9"/>
  <c r="K61" i="9" s="1"/>
  <c r="I60" i="9"/>
  <c r="H60" i="9"/>
  <c r="F60" i="9"/>
  <c r="E60" i="9"/>
  <c r="K60" i="9" s="1"/>
  <c r="J59" i="9"/>
  <c r="I59" i="9"/>
  <c r="H59" i="9"/>
  <c r="F59" i="9"/>
  <c r="E59" i="9"/>
  <c r="K59" i="9" s="1"/>
  <c r="J58" i="9"/>
  <c r="I58" i="9"/>
  <c r="H58" i="9"/>
  <c r="G58" i="9"/>
  <c r="F58" i="9"/>
  <c r="E58" i="9"/>
  <c r="K58" i="9" s="1"/>
  <c r="J57" i="9"/>
  <c r="I57" i="9"/>
  <c r="H57" i="9"/>
  <c r="G57" i="9"/>
  <c r="F57" i="9"/>
  <c r="E57" i="9"/>
  <c r="K57" i="9" s="1"/>
  <c r="J56" i="9"/>
  <c r="I56" i="9"/>
  <c r="H56" i="9"/>
  <c r="G56" i="9"/>
  <c r="F56" i="9"/>
  <c r="E56" i="9"/>
  <c r="K56" i="9" s="1"/>
  <c r="J55" i="9"/>
  <c r="I55" i="9"/>
  <c r="H55" i="9"/>
  <c r="G55" i="9"/>
  <c r="F55" i="9"/>
  <c r="E55" i="9"/>
  <c r="K55" i="9" s="1"/>
  <c r="J54" i="9"/>
  <c r="I54" i="9"/>
  <c r="H54" i="9"/>
  <c r="G54" i="9"/>
  <c r="F54" i="9"/>
  <c r="E54" i="9"/>
  <c r="K54" i="9" s="1"/>
  <c r="J53" i="9"/>
  <c r="I53" i="9"/>
  <c r="H53" i="9"/>
  <c r="G53" i="9"/>
  <c r="F53" i="9"/>
  <c r="E53" i="9"/>
  <c r="K53" i="9" s="1"/>
  <c r="J52" i="9"/>
  <c r="I52" i="9"/>
  <c r="H52" i="9"/>
  <c r="G52" i="9"/>
  <c r="F52" i="9"/>
  <c r="E52" i="9"/>
  <c r="K52" i="9" s="1"/>
  <c r="J51" i="9"/>
  <c r="I51" i="9"/>
  <c r="H51" i="9"/>
  <c r="G51" i="9"/>
  <c r="F51" i="9"/>
  <c r="E51" i="9"/>
  <c r="K51" i="9" s="1"/>
  <c r="J50" i="9"/>
  <c r="I50" i="9"/>
  <c r="H50" i="9"/>
  <c r="G50" i="9"/>
  <c r="F50" i="9"/>
  <c r="E50" i="9"/>
  <c r="K50" i="9" s="1"/>
  <c r="I49" i="9"/>
  <c r="H49" i="9"/>
  <c r="F49" i="9"/>
  <c r="E49" i="9"/>
  <c r="K49" i="9" s="1"/>
  <c r="J48" i="9"/>
  <c r="I48" i="9"/>
  <c r="H48" i="9"/>
  <c r="F48" i="9"/>
  <c r="E48" i="9"/>
  <c r="K48" i="9" s="1"/>
  <c r="J47" i="9"/>
  <c r="I47" i="9"/>
  <c r="H47" i="9"/>
  <c r="G47" i="9"/>
  <c r="F47" i="9"/>
  <c r="E47" i="9"/>
  <c r="K47" i="9" s="1"/>
  <c r="J46" i="9"/>
  <c r="I46" i="9"/>
  <c r="H46" i="9"/>
  <c r="G46" i="9"/>
  <c r="F46" i="9"/>
  <c r="E46" i="9"/>
  <c r="K46" i="9" s="1"/>
  <c r="J45" i="9"/>
  <c r="I45" i="9"/>
  <c r="H45" i="9"/>
  <c r="G45" i="9"/>
  <c r="F45" i="9"/>
  <c r="E45" i="9"/>
  <c r="K45" i="9" s="1"/>
  <c r="J44" i="9"/>
  <c r="I44" i="9"/>
  <c r="H44" i="9"/>
  <c r="G44" i="9"/>
  <c r="F44" i="9"/>
  <c r="E44" i="9"/>
  <c r="K44" i="9" s="1"/>
  <c r="J43" i="9"/>
  <c r="I43" i="9"/>
  <c r="H43" i="9"/>
  <c r="G43" i="9"/>
  <c r="F43" i="9"/>
  <c r="E43" i="9"/>
  <c r="K43" i="9" s="1"/>
  <c r="J42" i="9"/>
  <c r="I42" i="9"/>
  <c r="H42" i="9"/>
  <c r="G42" i="9"/>
  <c r="F42" i="9"/>
  <c r="E42" i="9"/>
  <c r="K42" i="9" s="1"/>
  <c r="J41" i="9"/>
  <c r="I41" i="9"/>
  <c r="H41" i="9"/>
  <c r="G41" i="9"/>
  <c r="F41" i="9"/>
  <c r="E41" i="9"/>
  <c r="K41" i="9" s="1"/>
  <c r="J40" i="9"/>
  <c r="I40" i="9"/>
  <c r="H40" i="9"/>
  <c r="G40" i="9"/>
  <c r="F40" i="9"/>
  <c r="E40" i="9"/>
  <c r="K40" i="9" s="1"/>
  <c r="I39" i="9"/>
  <c r="H39" i="9"/>
  <c r="F39" i="9"/>
  <c r="E39" i="9"/>
  <c r="K39" i="9" s="1"/>
  <c r="J38" i="9"/>
  <c r="I38" i="9"/>
  <c r="H38" i="9"/>
  <c r="F38" i="9"/>
  <c r="E38" i="9"/>
  <c r="K38" i="9" s="1"/>
  <c r="J37" i="9"/>
  <c r="I37" i="9"/>
  <c r="H37" i="9"/>
  <c r="G37" i="9"/>
  <c r="F37" i="9"/>
  <c r="E37" i="9"/>
  <c r="K37" i="9" s="1"/>
  <c r="J36" i="9"/>
  <c r="I36" i="9"/>
  <c r="H36" i="9"/>
  <c r="G36" i="9"/>
  <c r="F36" i="9"/>
  <c r="E36" i="9"/>
  <c r="K36" i="9" s="1"/>
  <c r="J35" i="9"/>
  <c r="I35" i="9"/>
  <c r="H35" i="9"/>
  <c r="G35" i="9"/>
  <c r="F35" i="9"/>
  <c r="E35" i="9"/>
  <c r="K35" i="9" s="1"/>
  <c r="J34" i="9"/>
  <c r="I34" i="9"/>
  <c r="H34" i="9"/>
  <c r="G34" i="9"/>
  <c r="F34" i="9"/>
  <c r="E34" i="9"/>
  <c r="K34" i="9" s="1"/>
  <c r="J33" i="9"/>
  <c r="I33" i="9"/>
  <c r="H33" i="9"/>
  <c r="G33" i="9"/>
  <c r="F33" i="9"/>
  <c r="E33" i="9"/>
  <c r="K33" i="9" s="1"/>
  <c r="J32" i="9"/>
  <c r="I32" i="9"/>
  <c r="H32" i="9"/>
  <c r="G32" i="9"/>
  <c r="F32" i="9"/>
  <c r="E32" i="9"/>
  <c r="K32" i="9" s="1"/>
  <c r="J31" i="9"/>
  <c r="I31" i="9"/>
  <c r="H31" i="9"/>
  <c r="G31" i="9"/>
  <c r="F31" i="9"/>
  <c r="E31" i="9"/>
  <c r="K31" i="9" s="1"/>
  <c r="J30" i="9"/>
  <c r="I30" i="9"/>
  <c r="H30" i="9"/>
  <c r="G30" i="9"/>
  <c r="F30" i="9"/>
  <c r="E30" i="9"/>
  <c r="K30" i="9" s="1"/>
  <c r="I29" i="9"/>
  <c r="H29" i="9"/>
  <c r="F29" i="9"/>
  <c r="E29" i="9"/>
  <c r="K29" i="9" s="1"/>
  <c r="J28" i="9"/>
  <c r="I28" i="9"/>
  <c r="H28" i="9"/>
  <c r="F28" i="9"/>
  <c r="E28" i="9"/>
  <c r="K28" i="9" s="1"/>
  <c r="J27" i="9"/>
  <c r="I27" i="9"/>
  <c r="H27" i="9"/>
  <c r="G27" i="9"/>
  <c r="F27" i="9"/>
  <c r="E27" i="9"/>
  <c r="K27" i="9" s="1"/>
  <c r="J26" i="9"/>
  <c r="I26" i="9"/>
  <c r="H26" i="9"/>
  <c r="G26" i="9"/>
  <c r="F26" i="9"/>
  <c r="E26" i="9"/>
  <c r="K26" i="9" s="1"/>
  <c r="J25" i="9"/>
  <c r="I25" i="9"/>
  <c r="H25" i="9"/>
  <c r="G25" i="9"/>
  <c r="F25" i="9"/>
  <c r="E25" i="9"/>
  <c r="K25" i="9" s="1"/>
  <c r="K24" i="9"/>
  <c r="J24" i="9"/>
  <c r="I24" i="9"/>
  <c r="H24" i="9"/>
  <c r="G24" i="9"/>
  <c r="F24" i="9"/>
  <c r="E24" i="9"/>
  <c r="J23" i="9"/>
  <c r="I23" i="9"/>
  <c r="H23" i="9"/>
  <c r="G23" i="9"/>
  <c r="F23" i="9"/>
  <c r="E23" i="9"/>
  <c r="K23" i="9" s="1"/>
  <c r="J22" i="9"/>
  <c r="I22" i="9"/>
  <c r="H22" i="9"/>
  <c r="G22" i="9"/>
  <c r="F22" i="9"/>
  <c r="E22" i="9"/>
  <c r="K22" i="9" s="1"/>
  <c r="J21" i="9"/>
  <c r="I21" i="9"/>
  <c r="H21" i="9"/>
  <c r="G21" i="9"/>
  <c r="F21" i="9"/>
  <c r="E21" i="9"/>
  <c r="K21" i="9" s="1"/>
  <c r="J20" i="9"/>
  <c r="I20" i="9"/>
  <c r="H20" i="9"/>
  <c r="G20" i="9"/>
  <c r="F20" i="9"/>
  <c r="E20" i="9"/>
  <c r="K20" i="9" s="1"/>
  <c r="I19" i="9"/>
  <c r="H19" i="9"/>
  <c r="F19" i="9"/>
  <c r="E19" i="9"/>
  <c r="K19" i="9" s="1"/>
  <c r="J18" i="9"/>
  <c r="I18" i="9"/>
  <c r="H18" i="9"/>
  <c r="F18" i="9"/>
  <c r="E18" i="9"/>
  <c r="K18" i="9" s="1"/>
  <c r="J17" i="9"/>
  <c r="I17" i="9"/>
  <c r="H17" i="9"/>
  <c r="G17" i="9"/>
  <c r="F17" i="9"/>
  <c r="E17" i="9"/>
  <c r="K17" i="9" s="1"/>
  <c r="J16" i="9"/>
  <c r="I16" i="9"/>
  <c r="H16" i="9"/>
  <c r="G16" i="9"/>
  <c r="F16" i="9"/>
  <c r="E16" i="9"/>
  <c r="K16" i="9" s="1"/>
  <c r="J15" i="9"/>
  <c r="I15" i="9"/>
  <c r="H15" i="9"/>
  <c r="G15" i="9"/>
  <c r="F15" i="9"/>
  <c r="E15" i="9"/>
  <c r="K15" i="9" s="1"/>
  <c r="J14" i="9"/>
  <c r="I14" i="9"/>
  <c r="H14" i="9"/>
  <c r="G14" i="9"/>
  <c r="F14" i="9"/>
  <c r="E14" i="9"/>
  <c r="K14" i="9" s="1"/>
  <c r="J13" i="9"/>
  <c r="I13" i="9"/>
  <c r="H13" i="9"/>
  <c r="G13" i="9"/>
  <c r="F13" i="9"/>
  <c r="E13" i="9"/>
  <c r="K13" i="9" s="1"/>
  <c r="J12" i="9"/>
  <c r="I12" i="9"/>
  <c r="H12" i="9"/>
  <c r="G12" i="9"/>
  <c r="F12" i="9"/>
  <c r="E12" i="9"/>
  <c r="K12" i="9" s="1"/>
  <c r="J11" i="9"/>
  <c r="I11" i="9"/>
  <c r="H11" i="9"/>
  <c r="G11" i="9"/>
  <c r="F11" i="9"/>
  <c r="E11" i="9"/>
  <c r="K11" i="9" s="1"/>
  <c r="I10" i="9"/>
  <c r="H10" i="9"/>
  <c r="F10" i="9"/>
  <c r="E10" i="9"/>
  <c r="K10" i="9" s="1"/>
  <c r="C10" i="9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J9" i="9"/>
  <c r="I9" i="9"/>
  <c r="H9" i="9"/>
  <c r="F9" i="9"/>
  <c r="E9" i="9"/>
  <c r="K9" i="9" s="1"/>
  <c r="J8" i="9"/>
  <c r="I8" i="9"/>
  <c r="H8" i="9"/>
  <c r="G8" i="9"/>
  <c r="F8" i="9"/>
  <c r="E8" i="9"/>
  <c r="K8" i="9" s="1"/>
  <c r="J7" i="9"/>
  <c r="I7" i="9"/>
  <c r="H7" i="9"/>
  <c r="G7" i="9"/>
  <c r="F7" i="9"/>
  <c r="E7" i="9"/>
  <c r="K7" i="9" s="1"/>
  <c r="J6" i="9"/>
  <c r="I6" i="9"/>
  <c r="H6" i="9"/>
  <c r="G6" i="9"/>
  <c r="F6" i="9"/>
  <c r="E6" i="9"/>
  <c r="K6" i="9" s="1"/>
  <c r="J5" i="9"/>
  <c r="I5" i="9"/>
  <c r="H5" i="9"/>
  <c r="G5" i="9"/>
  <c r="F5" i="9"/>
  <c r="E5" i="9"/>
  <c r="K5" i="9" s="1"/>
  <c r="J4" i="9"/>
  <c r="I4" i="9"/>
  <c r="H4" i="9"/>
  <c r="G4" i="9"/>
  <c r="F4" i="9"/>
  <c r="E4" i="9"/>
  <c r="K4" i="9" s="1"/>
  <c r="J3" i="9"/>
  <c r="I3" i="9"/>
  <c r="H3" i="9"/>
  <c r="G3" i="9"/>
  <c r="F3" i="9"/>
  <c r="E3" i="9"/>
  <c r="K3" i="9" s="1"/>
  <c r="I2" i="9"/>
  <c r="H2" i="9"/>
  <c r="F2" i="9"/>
  <c r="E2" i="9"/>
  <c r="K2" i="9" s="1"/>
  <c r="L2" i="9" s="1"/>
  <c r="D2" i="9"/>
  <c r="D3" i="9" s="1"/>
  <c r="D4" i="9" s="1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201" i="9" s="1"/>
  <c r="D202" i="9" s="1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D213" i="9" s="1"/>
  <c r="D214" i="9" s="1"/>
  <c r="D215" i="9" s="1"/>
  <c r="D216" i="9" s="1"/>
  <c r="D217" i="9" s="1"/>
  <c r="D218" i="9" s="1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 s="1"/>
  <c r="D231" i="9" s="1"/>
  <c r="D232" i="9" s="1"/>
  <c r="D233" i="9" s="1"/>
  <c r="D234" i="9" s="1"/>
  <c r="D235" i="9" s="1"/>
  <c r="D236" i="9" s="1"/>
  <c r="D237" i="9" s="1"/>
  <c r="D238" i="9" s="1"/>
  <c r="D239" i="9" s="1"/>
  <c r="D240" i="9" s="1"/>
  <c r="D241" i="9" s="1"/>
  <c r="D242" i="9" s="1"/>
  <c r="D243" i="9" s="1"/>
  <c r="D244" i="9" s="1"/>
  <c r="D245" i="9" s="1"/>
  <c r="D246" i="9" s="1"/>
  <c r="D247" i="9" s="1"/>
  <c r="D248" i="9" s="1"/>
  <c r="D249" i="9" s="1"/>
  <c r="D250" i="9" s="1"/>
  <c r="D251" i="9" s="1"/>
  <c r="D252" i="9" s="1"/>
  <c r="D253" i="9" s="1"/>
  <c r="D254" i="9" s="1"/>
  <c r="D255" i="9" s="1"/>
  <c r="D256" i="9" s="1"/>
  <c r="D257" i="9" s="1"/>
  <c r="D258" i="9" s="1"/>
  <c r="C2" i="9"/>
  <c r="C3" i="9" s="1"/>
  <c r="C4" i="9" s="1"/>
  <c r="C5" i="9" s="1"/>
  <c r="C6" i="9" s="1"/>
  <c r="C7" i="9" s="1"/>
  <c r="C8" i="9" s="1"/>
  <c r="C9" i="9" s="1"/>
  <c r="B2" i="9"/>
  <c r="B3" i="9" s="1"/>
  <c r="B4" i="9" s="1"/>
  <c r="B5" i="9" s="1"/>
  <c r="B6" i="9" s="1"/>
  <c r="B7" i="9" s="1"/>
  <c r="B8" i="9" s="1"/>
  <c r="B9" i="9" s="1"/>
  <c r="G297" i="9"/>
  <c r="J288" i="9"/>
  <c r="J278" i="9"/>
  <c r="G277" i="9"/>
  <c r="J269" i="9"/>
  <c r="G268" i="9"/>
  <c r="J259" i="9"/>
  <c r="G71" i="9"/>
  <c r="J60" i="9"/>
  <c r="G60" i="9"/>
  <c r="G59" i="9"/>
  <c r="J49" i="9"/>
  <c r="G48" i="9"/>
  <c r="J39" i="9"/>
  <c r="G38" i="9"/>
  <c r="J29" i="9"/>
  <c r="G28" i="9"/>
  <c r="J19" i="9"/>
  <c r="G19" i="9"/>
  <c r="G18" i="9"/>
  <c r="J10" i="9"/>
  <c r="G9" i="9"/>
  <c r="J2" i="9"/>
  <c r="L3" i="9" l="1"/>
  <c r="L4" i="9" s="1"/>
  <c r="L5" i="9" s="1"/>
  <c r="L6" i="9" s="1"/>
  <c r="G10" i="9"/>
  <c r="G49" i="9"/>
  <c r="G29" i="9"/>
  <c r="G269" i="9"/>
  <c r="G39" i="9"/>
  <c r="J73" i="9"/>
  <c r="G287" i="9"/>
  <c r="G278" i="9"/>
  <c r="J299" i="9"/>
  <c r="G288" i="9"/>
  <c r="L7" i="9" l="1"/>
  <c r="G259" i="9"/>
  <c r="G299" i="9"/>
  <c r="G2" i="9"/>
  <c r="G73" i="9"/>
  <c r="L8" i="9" l="1"/>
  <c r="L9" i="9" l="1"/>
  <c r="L10" i="9" l="1"/>
  <c r="L11" i="9" l="1"/>
  <c r="L12" i="9" l="1"/>
  <c r="L13" i="9" l="1"/>
  <c r="L14" i="9" l="1"/>
  <c r="L15" i="9" l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L155" i="9" s="1"/>
  <c r="L156" i="9" s="1"/>
  <c r="L157" i="9" s="1"/>
  <c r="L158" i="9" s="1"/>
  <c r="L159" i="9" s="1"/>
  <c r="L160" i="9" s="1"/>
  <c r="L161" i="9" s="1"/>
  <c r="L162" i="9" s="1"/>
  <c r="L163" i="9" s="1"/>
  <c r="L164" i="9" s="1"/>
  <c r="L165" i="9" s="1"/>
  <c r="L166" i="9" s="1"/>
  <c r="L167" i="9" s="1"/>
  <c r="L168" i="9" s="1"/>
  <c r="L169" i="9" s="1"/>
  <c r="L170" i="9" s="1"/>
  <c r="L171" i="9" s="1"/>
  <c r="L172" i="9" s="1"/>
  <c r="L173" i="9" s="1"/>
  <c r="L174" i="9" s="1"/>
  <c r="L175" i="9" s="1"/>
  <c r="L176" i="9" s="1"/>
  <c r="L177" i="9" s="1"/>
  <c r="L178" i="9" s="1"/>
  <c r="L179" i="9" s="1"/>
  <c r="L180" i="9" s="1"/>
  <c r="L181" i="9" s="1"/>
  <c r="L182" i="9" s="1"/>
  <c r="L183" i="9" s="1"/>
  <c r="L184" i="9" s="1"/>
  <c r="L185" i="9" s="1"/>
  <c r="L186" i="9" s="1"/>
  <c r="L187" i="9" s="1"/>
  <c r="L188" i="9" s="1"/>
  <c r="L189" i="9" s="1"/>
  <c r="L190" i="9" s="1"/>
  <c r="L191" i="9" s="1"/>
  <c r="L192" i="9" s="1"/>
  <c r="L193" i="9" s="1"/>
  <c r="L194" i="9" s="1"/>
  <c r="L195" i="9" s="1"/>
  <c r="L196" i="9" s="1"/>
  <c r="L197" i="9" s="1"/>
  <c r="L198" i="9" s="1"/>
  <c r="L199" i="9" s="1"/>
  <c r="L200" i="9" s="1"/>
  <c r="L201" i="9" s="1"/>
  <c r="L202" i="9" s="1"/>
  <c r="L203" i="9" s="1"/>
  <c r="L204" i="9" s="1"/>
  <c r="L205" i="9" s="1"/>
  <c r="L206" i="9" s="1"/>
  <c r="L207" i="9" s="1"/>
  <c r="L208" i="9" s="1"/>
  <c r="L209" i="9" s="1"/>
  <c r="L210" i="9" s="1"/>
  <c r="L211" i="9" s="1"/>
  <c r="L212" i="9" s="1"/>
  <c r="L213" i="9" s="1"/>
  <c r="L214" i="9" s="1"/>
  <c r="L215" i="9" s="1"/>
  <c r="L216" i="9" s="1"/>
  <c r="L217" i="9" s="1"/>
  <c r="L218" i="9" s="1"/>
  <c r="L219" i="9" s="1"/>
  <c r="L220" i="9" s="1"/>
  <c r="L221" i="9" s="1"/>
  <c r="L222" i="9" s="1"/>
  <c r="L223" i="9" s="1"/>
  <c r="L224" i="9" s="1"/>
  <c r="L225" i="9" s="1"/>
  <c r="L226" i="9" s="1"/>
  <c r="L227" i="9" s="1"/>
  <c r="L228" i="9" s="1"/>
  <c r="L229" i="9" s="1"/>
  <c r="L230" i="9" s="1"/>
  <c r="L231" i="9" s="1"/>
  <c r="L232" i="9" s="1"/>
  <c r="L233" i="9" s="1"/>
  <c r="L234" i="9" s="1"/>
  <c r="L235" i="9" s="1"/>
  <c r="L236" i="9" s="1"/>
  <c r="L237" i="9" s="1"/>
  <c r="L238" i="9" s="1"/>
  <c r="L239" i="9" s="1"/>
  <c r="L240" i="9" s="1"/>
  <c r="L241" i="9" s="1"/>
  <c r="L242" i="9" s="1"/>
  <c r="L243" i="9" s="1"/>
  <c r="L244" i="9" s="1"/>
  <c r="L245" i="9" s="1"/>
  <c r="L246" i="9" s="1"/>
  <c r="L247" i="9" s="1"/>
  <c r="L248" i="9" s="1"/>
  <c r="L249" i="9" s="1"/>
  <c r="L250" i="9" s="1"/>
  <c r="L251" i="9" s="1"/>
  <c r="L252" i="9" s="1"/>
  <c r="L253" i="9" s="1"/>
  <c r="L254" i="9" s="1"/>
  <c r="L255" i="9" s="1"/>
  <c r="L256" i="9" s="1"/>
  <c r="L257" i="9" s="1"/>
  <c r="L258" i="9" s="1"/>
  <c r="L259" i="9" s="1"/>
  <c r="L260" i="9" s="1"/>
  <c r="L261" i="9" s="1"/>
  <c r="L262" i="9" s="1"/>
  <c r="L263" i="9" s="1"/>
  <c r="L264" i="9" s="1"/>
  <c r="L265" i="9" s="1"/>
  <c r="L266" i="9" s="1"/>
  <c r="L267" i="9" s="1"/>
  <c r="L268" i="9" s="1"/>
  <c r="L269" i="9" s="1"/>
  <c r="L270" i="9" s="1"/>
  <c r="L271" i="9" s="1"/>
  <c r="L272" i="9" s="1"/>
  <c r="L273" i="9" s="1"/>
  <c r="L274" i="9" s="1"/>
  <c r="L275" i="9" s="1"/>
  <c r="L276" i="9" s="1"/>
  <c r="L277" i="9" s="1"/>
  <c r="L278" i="9" s="1"/>
  <c r="L279" i="9" s="1"/>
  <c r="L280" i="9" s="1"/>
  <c r="L281" i="9" s="1"/>
  <c r="L282" i="9" s="1"/>
  <c r="L283" i="9" s="1"/>
  <c r="L284" i="9" s="1"/>
  <c r="L285" i="9" s="1"/>
  <c r="L286" i="9" s="1"/>
  <c r="L287" i="9" s="1"/>
  <c r="L288" i="9" s="1"/>
  <c r="L289" i="9" s="1"/>
  <c r="L290" i="9" s="1"/>
  <c r="L291" i="9" s="1"/>
  <c r="L292" i="9" s="1"/>
  <c r="L293" i="9" s="1"/>
  <c r="L294" i="9" s="1"/>
  <c r="L295" i="9" s="1"/>
  <c r="L296" i="9" s="1"/>
  <c r="L297" i="9" s="1"/>
  <c r="L298" i="9" s="1"/>
  <c r="L299" i="9" s="1"/>
  <c r="L300" i="9" s="1"/>
  <c r="L301" i="9" s="1"/>
  <c r="L302" i="9" s="1"/>
  <c r="L303" i="9" s="1"/>
  <c r="L304" i="9" s="1"/>
  <c r="L305" i="9" s="1"/>
  <c r="L306" i="9" s="1"/>
  <c r="L307" i="9" s="1"/>
  <c r="L308" i="9" s="1"/>
  <c r="L309" i="9" s="1"/>
  <c r="L310" i="9" s="1"/>
  <c r="L311" i="9" s="1"/>
  <c r="L312" i="9" s="1"/>
  <c r="L313" i="9" s="1"/>
  <c r="L314" i="9" s="1"/>
  <c r="L315" i="9" s="1"/>
  <c r="L316" i="9" s="1"/>
  <c r="L317" i="9" s="1"/>
  <c r="L318" i="9" s="1"/>
  <c r="L319" i="9" s="1"/>
  <c r="L320" i="9" s="1"/>
  <c r="L321" i="9" s="1"/>
  <c r="L322" i="9" s="1"/>
  <c r="L323" i="9" s="1"/>
  <c r="L324" i="9" s="1"/>
  <c r="L325" i="9" s="1"/>
  <c r="L326" i="9" s="1"/>
  <c r="L327" i="9" s="1"/>
  <c r="L328" i="9" s="1"/>
  <c r="L329" i="9" s="1"/>
  <c r="L330" i="9" s="1"/>
  <c r="L331" i="9" s="1"/>
  <c r="L332" i="9" s="1"/>
  <c r="L333" i="9" s="1"/>
  <c r="L334" i="9" s="1"/>
  <c r="L335" i="9" s="1"/>
  <c r="L336" i="9" s="1"/>
  <c r="L337" i="9" s="1"/>
  <c r="L338" i="9" s="1"/>
  <c r="L339" i="9" s="1"/>
  <c r="L340" i="9" s="1"/>
  <c r="L341" i="9" s="1"/>
  <c r="L342" i="9" s="1"/>
  <c r="L343" i="9" s="1"/>
  <c r="L344" i="9" s="1"/>
  <c r="L345" i="9" s="1"/>
  <c r="L346" i="9" s="1"/>
  <c r="L347" i="9" s="1"/>
  <c r="L348" i="9" s="1"/>
  <c r="L349" i="9" s="1"/>
  <c r="L350" i="9" s="1"/>
  <c r="L351" i="9" s="1"/>
  <c r="L352" i="9" s="1"/>
  <c r="L353" i="9" s="1"/>
  <c r="L354" i="9" s="1"/>
  <c r="L355" i="9" s="1"/>
  <c r="L356" i="9" s="1"/>
  <c r="L357" i="9" s="1"/>
  <c r="L358" i="9" s="1"/>
  <c r="L359" i="9" s="1"/>
  <c r="L360" i="9" s="1"/>
  <c r="L361" i="9" s="1"/>
  <c r="L362" i="9" s="1"/>
  <c r="L363" i="9" s="1"/>
  <c r="L364" i="9" s="1"/>
  <c r="L365" i="9" s="1"/>
  <c r="L366" i="9" s="1"/>
  <c r="L367" i="9" s="1"/>
  <c r="L368" i="9" s="1"/>
  <c r="L369" i="9" s="1"/>
  <c r="L370" i="9" s="1"/>
  <c r="L371" i="9" s="1"/>
  <c r="L372" i="9" s="1"/>
  <c r="L373" i="9" s="1"/>
  <c r="L374" i="9" s="1"/>
  <c r="L375" i="9" s="1"/>
  <c r="L376" i="9" s="1"/>
  <c r="L377" i="9" s="1"/>
  <c r="L378" i="9" s="1"/>
  <c r="L379" i="9" s="1"/>
  <c r="L380" i="9" s="1"/>
  <c r="L381" i="9" s="1"/>
  <c r="L382" i="9" s="1"/>
  <c r="L383" i="9" s="1"/>
  <c r="L384" i="9" s="1"/>
  <c r="L385" i="9" s="1"/>
  <c r="L386" i="9" s="1"/>
  <c r="L387" i="9" s="1"/>
  <c r="L388" i="9" s="1"/>
  <c r="L389" i="9" s="1"/>
  <c r="L390" i="9" s="1"/>
  <c r="L391" i="9" s="1"/>
  <c r="L392" i="9" s="1"/>
  <c r="L393" i="9" s="1"/>
  <c r="L394" i="9" s="1"/>
  <c r="L395" i="9" s="1"/>
  <c r="L396" i="9" s="1"/>
  <c r="L397" i="9" s="1"/>
  <c r="L398" i="9" s="1"/>
  <c r="L399" i="9" s="1"/>
  <c r="L400" i="9" s="1"/>
  <c r="L401" i="9" s="1"/>
  <c r="L402" i="9" s="1"/>
  <c r="L403" i="9" s="1"/>
  <c r="L404" i="9" s="1"/>
  <c r="L405" i="9" s="1"/>
  <c r="L406" i="9" s="1"/>
  <c r="L407" i="9" s="1"/>
  <c r="L408" i="9" s="1"/>
  <c r="L409" i="9" s="1"/>
  <c r="L410" i="9" s="1"/>
  <c r="L411" i="9" s="1"/>
  <c r="L412" i="9" s="1"/>
  <c r="L413" i="9" s="1"/>
  <c r="L414" i="9" s="1"/>
  <c r="L415" i="9" s="1"/>
  <c r="L416" i="9" s="1"/>
  <c r="L417" i="9" s="1"/>
  <c r="L418" i="9" s="1"/>
  <c r="L419" i="9" s="1"/>
  <c r="L420" i="9" s="1"/>
  <c r="L421" i="9" s="1"/>
  <c r="L422" i="9" s="1"/>
  <c r="L423" i="9" s="1"/>
  <c r="L424" i="9" s="1"/>
  <c r="L425" i="9" s="1"/>
  <c r="L426" i="9" s="1"/>
  <c r="L427" i="9" s="1"/>
  <c r="L428" i="9" s="1"/>
  <c r="L429" i="9" s="1"/>
  <c r="L430" i="9" s="1"/>
  <c r="L431" i="9" s="1"/>
  <c r="L432" i="9" s="1"/>
  <c r="L433" i="9" s="1"/>
  <c r="L434" i="9" s="1"/>
  <c r="L435" i="9" s="1"/>
  <c r="L436" i="9" s="1"/>
  <c r="L437" i="9" s="1"/>
  <c r="L438" i="9" s="1"/>
  <c r="L439" i="9" s="1"/>
  <c r="L440" i="9" s="1"/>
  <c r="L441" i="9" s="1"/>
  <c r="L442" i="9" s="1"/>
  <c r="L443" i="9" s="1"/>
  <c r="L444" i="9" s="1"/>
  <c r="L445" i="9" s="1"/>
  <c r="L446" i="9" s="1"/>
  <c r="L447" i="9" s="1"/>
  <c r="L448" i="9" s="1"/>
  <c r="L449" i="9" s="1"/>
  <c r="L450" i="9" s="1"/>
  <c r="L451" i="9" s="1"/>
  <c r="L452" i="9" s="1"/>
  <c r="L453" i="9" s="1"/>
  <c r="L454" i="9" s="1"/>
  <c r="L455" i="9" s="1"/>
  <c r="L456" i="9" s="1"/>
  <c r="L457" i="9" s="1"/>
  <c r="L458" i="9" s="1"/>
  <c r="L459" i="9" s="1"/>
  <c r="L460" i="9" s="1"/>
  <c r="L461" i="9" s="1"/>
  <c r="L462" i="9" s="1"/>
  <c r="L463" i="9" s="1"/>
  <c r="L464" i="9" s="1"/>
  <c r="L465" i="9" s="1"/>
  <c r="L466" i="9" s="1"/>
  <c r="L467" i="9" s="1"/>
  <c r="L468" i="9" s="1"/>
  <c r="L469" i="9" s="1"/>
  <c r="L470" i="9" s="1"/>
  <c r="L471" i="9" s="1"/>
  <c r="L472" i="9" s="1"/>
  <c r="L473" i="9" s="1"/>
  <c r="L474" i="9" s="1"/>
  <c r="L475" i="9" s="1"/>
  <c r="L476" i="9" s="1"/>
  <c r="L477" i="9" s="1"/>
  <c r="L478" i="9" s="1"/>
  <c r="L479" i="9" s="1"/>
  <c r="L480" i="9" s="1"/>
  <c r="L481" i="9" s="1"/>
  <c r="L482" i="9" s="1"/>
  <c r="L483" i="9" s="1"/>
  <c r="L484" i="9" s="1"/>
  <c r="L485" i="9" s="1"/>
  <c r="L486" i="9" s="1"/>
  <c r="L487" i="9" s="1"/>
  <c r="L488" i="9" s="1"/>
  <c r="L489" i="9" s="1"/>
  <c r="L490" i="9" s="1"/>
  <c r="L491" i="9" s="1"/>
  <c r="L492" i="9" s="1"/>
  <c r="L493" i="9" s="1"/>
  <c r="L494" i="9" s="1"/>
  <c r="L495" i="9" s="1"/>
  <c r="L496" i="9" s="1"/>
  <c r="L497" i="9" s="1"/>
  <c r="L498" i="9" s="1"/>
  <c r="L499" i="9" s="1"/>
  <c r="L500" i="9" s="1"/>
  <c r="L501" i="9" s="1"/>
  <c r="L502" i="9" s="1"/>
  <c r="L503" i="9" s="1"/>
  <c r="L504" i="9" s="1"/>
  <c r="L505" i="9" s="1"/>
  <c r="L506" i="9" s="1"/>
  <c r="L507" i="9" s="1"/>
  <c r="L508" i="9" s="1"/>
  <c r="L509" i="9" s="1"/>
  <c r="L510" i="9" s="1"/>
  <c r="L511" i="9" s="1"/>
  <c r="L512" i="9" s="1"/>
  <c r="L513" i="9" s="1"/>
  <c r="L514" i="9" s="1"/>
  <c r="L515" i="9" s="1"/>
</calcChain>
</file>

<file path=xl/sharedStrings.xml><?xml version="1.0" encoding="utf-8"?>
<sst xmlns="http://schemas.openxmlformats.org/spreadsheetml/2006/main" count="26" uniqueCount="16">
  <si>
    <t>MILESTONE TRACKER — INDIA HERO PROJECT (IHP)</t>
  </si>
  <si>
    <t>Delivery / Approval / Release dates · Finance tracks Payment · Status column is automatic</t>
  </si>
  <si>
    <t>Sl.
No</t>
  </si>
  <si>
    <t>Program</t>
  </si>
  <si>
    <t>Title</t>
  </si>
  <si>
    <t>Developer</t>
  </si>
  <si>
    <t>Milestone</t>
  </si>
  <si>
    <t>Description</t>
  </si>
  <si>
    <t>Delivery Date</t>
  </si>
  <si>
    <t>MS Approval Date</t>
  </si>
  <si>
    <t>Release Date</t>
  </si>
  <si>
    <t>PORTFOLIO TOTAL</t>
  </si>
  <si>
    <t>Paid ▶</t>
  </si>
  <si>
    <t>MILESTONE TRACKER — MENA HERO PROJECT</t>
  </si>
  <si>
    <t>trackRow</t>
  </si>
  <si>
    <t>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</si>
</sst>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dd\-mmm\-yyyy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B1F3A"/>
      <name val="Calibri"/>
      <charset val="1"/>
    </font>
    <font>
      <b/>
      <sz val="10"/>
      <color rgb="FF7F6000"/>
      <name val="Calibri"/>
      <charset val="1"/>
    </font>
    <font>
      <b/>
      <sz val="14"/>
      <color rgb="FFFFFFFF"/>
      <name val="Calibri"/>
      <charset val="1"/>
    </font>
    <font>
      <i/>
      <sz val="9"/>
      <color rgb="FF595959"/>
      <name val="Calibri"/>
      <charset val="1"/>
    </font>
    <font>
      <b/>
      <sz val="9"/>
      <color rgb="FF0B1F3A"/>
      <name val="Calibri"/>
      <charset val="1"/>
    </font>
    <font>
      <b/>
      <sz val="9"/>
      <color rgb="FF006100"/>
      <name val="Calibri"/>
      <charset val="1"/>
    </font>
    <font>
      <sz val="10"/>
      <color rgb="FF0000FF"/>
      <name val="Calibri"/>
      <charset val="1"/>
    </font>
    <font>
      <b/>
      <sz val="10"/>
      <color rgb="FF0B1F3A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F4F7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B1F3A"/>
        <bgColor rgb="FF003300"/>
      </patternFill>
    </fill>
    <fill>
      <patternFill patternType="solid">
        <fgColor rgb="FFDCE6F1"/>
        <bgColor rgb="FFDDEBF7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8" fillId="6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horizontal="right"/>
    </xf>
    <xf numFmtId="0" fontId="0" fillId="0" borderId="1" xfId="0" applyBorder="1"/>
    <xf numFmtId="165" fontId="10" fillId="0" borderId="1" xfId="0" applyNumberFormat="1" applyFont="1" applyBorder="1" applyAlignment="1">
      <alignment horizontal="center"/>
    </xf>
    <xf numFmtId="0" fontId="0" fillId="3" borderId="1" xfId="0" applyFill="1" applyBorder="1"/>
    <xf numFmtId="165" fontId="10" fillId="3" borderId="1" xfId="0" applyNumberFormat="1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5" fillId="4" borderId="1" xfId="0" applyFont="1" applyFill="1" applyBorder="1"/>
    <xf numFmtId="0" fontId="11" fillId="6" borderId="1" xfId="0" applyFont="1" applyFill="1" applyBorder="1"/>
    <xf numFmtId="165" fontId="3" fillId="0" borderId="1" xfId="0" applyNumberFormat="1" applyFont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6" fillId="5" borderId="0" xfId="0" applyFont="1" applyFill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DCE6F1"/>
      <rgbColor rgb="FFC6EFCE"/>
      <rgbColor rgb="FFFFEB9C"/>
      <rgbColor rgb="FFF4F7FB"/>
      <rgbColor rgb="FFFF99CC"/>
      <rgbColor rgb="FFCC99FF"/>
      <rgbColor rgb="FFFFC7CE"/>
      <rgbColor rgb="FF2E75B6"/>
      <rgbColor rgb="FF33CCCC"/>
      <rgbColor rgb="FF99CC00"/>
      <rgbColor rgb="FFFFCC00"/>
      <rgbColor rgb="FFB8860B"/>
      <rgbColor rgb="FFFF6600"/>
      <rgbColor rgb="FF595959"/>
      <rgbColor rgb="FF969696"/>
      <rgbColor rgb="FF0B1F3A"/>
      <rgbColor rgb="FF2E7D32"/>
      <rgbColor rgb="FF003300"/>
      <rgbColor rgb="FF333300"/>
      <rgbColor rgb="FF9C6500"/>
      <rgbColor rgb="FF993366"/>
      <rgbColor rgb="FF1F497D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5"/>
  <sheetViews>
    <sheetView showGridLines="0" zoomScaleNormal="100" workbookViewId="0">
      <pane ySplit="3" topLeftCell="A48" activePane="bottomLeft" state="frozen"/>
      <selection pane="bottomLeft" activeCell="A4" sqref="A4:I74"/>
    </sheetView>
  </sheetViews>
  <sheetFormatPr defaultColWidth="8.54296875" defaultRowHeight="14.5" x14ac:dyDescent="0.35"/>
  <cols>
    <col min="1" max="1" width="5" customWidth="1"/>
    <col min="2" max="2" width="11.81640625" customWidth="1"/>
    <col min="3" max="3" width="22" customWidth="1"/>
    <col min="4" max="4" width="20" customWidth="1"/>
    <col min="5" max="5" width="12.81640625" customWidth="1"/>
    <col min="6" max="6" width="32.1796875" customWidth="1"/>
    <col min="7" max="7" width="17.26953125" customWidth="1"/>
    <col min="8" max="8" width="20.81640625" customWidth="1"/>
    <col min="9" max="9" width="15.54296875" customWidth="1"/>
  </cols>
  <sheetData>
    <row r="1" spans="1:9" ht="25.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5">
      <c r="A4" s="2"/>
      <c r="B4" s="2"/>
      <c r="C4" s="3"/>
      <c r="D4" s="3"/>
      <c r="E4" s="3"/>
      <c r="F4" s="4"/>
      <c r="G4" s="3"/>
      <c r="H4" s="5"/>
      <c r="I4" s="3"/>
    </row>
    <row r="5" spans="1:9" x14ac:dyDescent="0.35">
      <c r="A5" s="6"/>
      <c r="B5" s="6"/>
      <c r="C5" s="6"/>
      <c r="D5" s="6"/>
      <c r="E5" s="6"/>
      <c r="F5" s="6"/>
      <c r="G5" s="7"/>
      <c r="H5" s="7"/>
      <c r="I5" s="6"/>
    </row>
    <row r="6" spans="1:9" x14ac:dyDescent="0.35">
      <c r="A6" s="8"/>
      <c r="B6" s="8"/>
      <c r="C6" s="8"/>
      <c r="D6" s="8"/>
      <c r="E6" s="8"/>
      <c r="F6" s="8"/>
      <c r="G6" s="9"/>
      <c r="H6" s="9"/>
      <c r="I6" s="8"/>
    </row>
    <row r="7" spans="1:9" x14ac:dyDescent="0.35">
      <c r="A7" s="6"/>
      <c r="B7" s="6"/>
      <c r="C7" s="6"/>
      <c r="D7" s="6"/>
      <c r="E7" s="6"/>
      <c r="F7" s="6"/>
      <c r="G7" s="7"/>
      <c r="H7" s="7"/>
      <c r="I7" s="6"/>
    </row>
    <row r="8" spans="1:9" x14ac:dyDescent="0.35">
      <c r="A8" s="8"/>
      <c r="B8" s="8"/>
      <c r="C8" s="8"/>
      <c r="D8" s="8"/>
      <c r="E8" s="8"/>
      <c r="F8" s="8"/>
      <c r="G8" s="9"/>
      <c r="H8" s="9"/>
      <c r="I8" s="8"/>
    </row>
    <row r="9" spans="1:9" x14ac:dyDescent="0.35">
      <c r="A9" s="6"/>
      <c r="B9" s="6"/>
      <c r="C9" s="6"/>
      <c r="D9" s="6"/>
      <c r="E9" s="6"/>
      <c r="F9" s="6"/>
      <c r="G9" s="10"/>
      <c r="H9" s="6"/>
      <c r="I9" s="6"/>
    </row>
    <row r="10" spans="1:9" x14ac:dyDescent="0.35">
      <c r="A10" s="8"/>
      <c r="B10" s="8"/>
      <c r="C10" s="8"/>
      <c r="D10" s="8"/>
      <c r="E10" s="8"/>
      <c r="F10" s="8"/>
      <c r="G10" s="10"/>
      <c r="H10" s="8"/>
      <c r="I10" s="11"/>
    </row>
    <row r="11" spans="1:9" x14ac:dyDescent="0.35">
      <c r="A11" s="12"/>
      <c r="B11" s="12"/>
      <c r="C11" s="12"/>
      <c r="D11" s="12"/>
      <c r="E11" s="12"/>
      <c r="F11" s="13"/>
      <c r="G11" s="12"/>
      <c r="H11" s="12"/>
      <c r="I11" s="12"/>
    </row>
    <row r="12" spans="1:9" x14ac:dyDescent="0.35">
      <c r="A12" s="2"/>
      <c r="B12" s="2"/>
      <c r="C12" s="3"/>
      <c r="D12" s="3"/>
      <c r="E12" s="3"/>
      <c r="F12" s="4"/>
      <c r="G12" s="3"/>
      <c r="H12" s="5"/>
      <c r="I12" s="3"/>
    </row>
    <row r="13" spans="1:9" x14ac:dyDescent="0.35">
      <c r="A13" s="6"/>
      <c r="B13" s="6"/>
      <c r="C13" s="6"/>
      <c r="D13" s="6"/>
      <c r="E13" s="6"/>
      <c r="F13" s="6"/>
      <c r="G13" s="7"/>
      <c r="H13" s="7"/>
      <c r="I13" s="6"/>
    </row>
    <row r="14" spans="1:9" x14ac:dyDescent="0.35">
      <c r="A14" s="8"/>
      <c r="B14" s="8"/>
      <c r="C14" s="8"/>
      <c r="D14" s="8"/>
      <c r="E14" s="8"/>
      <c r="F14" s="8"/>
      <c r="G14" s="9"/>
      <c r="H14" s="9"/>
      <c r="I14" s="8"/>
    </row>
    <row r="15" spans="1:9" x14ac:dyDescent="0.35">
      <c r="A15" s="6"/>
      <c r="B15" s="6"/>
      <c r="C15" s="6"/>
      <c r="D15" s="6"/>
      <c r="E15" s="6"/>
      <c r="F15" s="6"/>
      <c r="G15" s="7"/>
      <c r="H15" s="7"/>
      <c r="I15" s="6"/>
    </row>
    <row r="16" spans="1:9" x14ac:dyDescent="0.35">
      <c r="A16" s="8"/>
      <c r="B16" s="8"/>
      <c r="C16" s="8"/>
      <c r="D16" s="8"/>
      <c r="E16" s="8"/>
      <c r="F16" s="8"/>
      <c r="G16" s="9"/>
      <c r="H16" s="9"/>
      <c r="I16" s="8"/>
    </row>
    <row r="17" spans="1:9" x14ac:dyDescent="0.35">
      <c r="A17" s="6"/>
      <c r="B17" s="6"/>
      <c r="C17" s="6"/>
      <c r="D17" s="6"/>
      <c r="E17" s="6"/>
      <c r="F17" s="6"/>
      <c r="G17" s="7"/>
      <c r="H17" s="7"/>
      <c r="I17" s="6"/>
    </row>
    <row r="18" spans="1:9" x14ac:dyDescent="0.35">
      <c r="A18" s="8"/>
      <c r="B18" s="8"/>
      <c r="C18" s="8"/>
      <c r="D18" s="8"/>
      <c r="E18" s="8"/>
      <c r="F18" s="8"/>
      <c r="G18" s="9"/>
      <c r="H18" s="9"/>
      <c r="I18" s="8"/>
    </row>
    <row r="19" spans="1:9" x14ac:dyDescent="0.35">
      <c r="A19" s="6"/>
      <c r="B19" s="6"/>
      <c r="C19" s="6"/>
      <c r="D19" s="6"/>
      <c r="E19" s="6"/>
      <c r="F19" s="6"/>
      <c r="G19" s="7"/>
      <c r="H19" s="7"/>
      <c r="I19" s="7"/>
    </row>
    <row r="20" spans="1:9" x14ac:dyDescent="0.35">
      <c r="A20" s="12"/>
      <c r="B20" s="12"/>
      <c r="C20" s="12"/>
      <c r="D20" s="12"/>
      <c r="E20" s="12"/>
      <c r="F20" s="13"/>
      <c r="G20" s="12"/>
      <c r="H20" s="12"/>
      <c r="I20" s="12"/>
    </row>
    <row r="21" spans="1:9" x14ac:dyDescent="0.35">
      <c r="A21" s="2"/>
      <c r="B21" s="2"/>
      <c r="C21" s="3"/>
      <c r="D21" s="3"/>
      <c r="E21" s="3"/>
      <c r="F21" s="4"/>
      <c r="G21" s="3"/>
      <c r="H21" s="5"/>
      <c r="I21" s="3"/>
    </row>
    <row r="22" spans="1:9" x14ac:dyDescent="0.35">
      <c r="A22" s="6"/>
      <c r="B22" s="6"/>
      <c r="C22" s="6"/>
      <c r="D22" s="6"/>
      <c r="E22" s="6"/>
      <c r="F22" s="6"/>
      <c r="G22" s="7"/>
      <c r="H22" s="7"/>
      <c r="I22" s="6"/>
    </row>
    <row r="23" spans="1:9" x14ac:dyDescent="0.35">
      <c r="A23" s="8"/>
      <c r="B23" s="8"/>
      <c r="C23" s="8"/>
      <c r="D23" s="8"/>
      <c r="E23" s="8"/>
      <c r="F23" s="8"/>
      <c r="G23" s="9"/>
      <c r="H23" s="9"/>
      <c r="I23" s="8"/>
    </row>
    <row r="24" spans="1:9" x14ac:dyDescent="0.35">
      <c r="A24" s="6"/>
      <c r="B24" s="6"/>
      <c r="C24" s="6"/>
      <c r="D24" s="6"/>
      <c r="E24" s="6"/>
      <c r="F24" s="6"/>
      <c r="G24" s="7"/>
      <c r="H24" s="7"/>
      <c r="I24" s="6"/>
    </row>
    <row r="25" spans="1:9" x14ac:dyDescent="0.35">
      <c r="A25" s="8"/>
      <c r="B25" s="8"/>
      <c r="C25" s="8"/>
      <c r="D25" s="8"/>
      <c r="E25" s="8"/>
      <c r="F25" s="8"/>
      <c r="G25" s="9"/>
      <c r="H25" s="9"/>
      <c r="I25" s="8"/>
    </row>
    <row r="26" spans="1:9" x14ac:dyDescent="0.35">
      <c r="A26" s="6"/>
      <c r="B26" s="6"/>
      <c r="C26" s="6"/>
      <c r="D26" s="6"/>
      <c r="E26" s="6"/>
      <c r="F26" s="6"/>
      <c r="G26" s="7"/>
      <c r="H26" s="7"/>
      <c r="I26" s="6"/>
    </row>
    <row r="27" spans="1:9" x14ac:dyDescent="0.35">
      <c r="A27" s="8"/>
      <c r="B27" s="8"/>
      <c r="C27" s="8"/>
      <c r="D27" s="8"/>
      <c r="E27" s="8"/>
      <c r="F27" s="8"/>
      <c r="G27" s="9"/>
      <c r="H27" s="8"/>
      <c r="I27" s="8"/>
    </row>
    <row r="28" spans="1:9" x14ac:dyDescent="0.35">
      <c r="A28" s="6"/>
      <c r="B28" s="6"/>
      <c r="C28" s="6"/>
      <c r="D28" s="6"/>
      <c r="E28" s="6"/>
      <c r="F28" s="6"/>
      <c r="G28" s="7"/>
      <c r="H28" s="6"/>
      <c r="I28" s="6"/>
    </row>
    <row r="29" spans="1:9" x14ac:dyDescent="0.35">
      <c r="A29" s="8"/>
      <c r="B29" s="8"/>
      <c r="C29" s="8"/>
      <c r="D29" s="8"/>
      <c r="E29" s="8"/>
      <c r="F29" s="8"/>
      <c r="G29" s="9"/>
      <c r="H29" s="8"/>
      <c r="I29" s="11"/>
    </row>
    <row r="30" spans="1:9" x14ac:dyDescent="0.35">
      <c r="A30" s="12"/>
      <c r="B30" s="12"/>
      <c r="C30" s="12"/>
      <c r="D30" s="12"/>
      <c r="E30" s="12"/>
      <c r="F30" s="13"/>
      <c r="G30" s="12"/>
      <c r="H30" s="12"/>
      <c r="I30" s="12"/>
    </row>
    <row r="31" spans="1:9" x14ac:dyDescent="0.35">
      <c r="A31" s="2"/>
      <c r="B31" s="2"/>
      <c r="C31" s="3"/>
      <c r="D31" s="3"/>
      <c r="E31" s="3"/>
      <c r="F31" s="4"/>
      <c r="G31" s="3"/>
      <c r="H31" s="5"/>
      <c r="I31" s="3"/>
    </row>
    <row r="32" spans="1:9" x14ac:dyDescent="0.35">
      <c r="A32" s="6"/>
      <c r="B32" s="6"/>
      <c r="C32" s="6"/>
      <c r="D32" s="6"/>
      <c r="E32" s="6"/>
      <c r="F32" s="6"/>
      <c r="G32" s="7"/>
      <c r="H32" s="7"/>
      <c r="I32" s="6"/>
    </row>
    <row r="33" spans="1:9" x14ac:dyDescent="0.35">
      <c r="A33" s="8"/>
      <c r="B33" s="8"/>
      <c r="C33" s="8"/>
      <c r="D33" s="8"/>
      <c r="E33" s="8"/>
      <c r="F33" s="8"/>
      <c r="G33" s="9"/>
      <c r="H33" s="9"/>
      <c r="I33" s="8"/>
    </row>
    <row r="34" spans="1:9" x14ac:dyDescent="0.35">
      <c r="A34" s="6"/>
      <c r="B34" s="6"/>
      <c r="C34" s="6"/>
      <c r="D34" s="6"/>
      <c r="E34" s="6"/>
      <c r="F34" s="6"/>
      <c r="G34" s="7"/>
      <c r="H34" s="7"/>
      <c r="I34" s="6"/>
    </row>
    <row r="35" spans="1:9" x14ac:dyDescent="0.35">
      <c r="A35" s="8"/>
      <c r="B35" s="8"/>
      <c r="C35" s="8"/>
      <c r="D35" s="8"/>
      <c r="E35" s="8"/>
      <c r="F35" s="8"/>
      <c r="G35" s="9"/>
      <c r="H35" s="9"/>
      <c r="I35" s="8"/>
    </row>
    <row r="36" spans="1:9" x14ac:dyDescent="0.35">
      <c r="A36" s="6"/>
      <c r="B36" s="6"/>
      <c r="C36" s="6"/>
      <c r="D36" s="6"/>
      <c r="E36" s="6"/>
      <c r="F36" s="6"/>
      <c r="G36" s="7"/>
      <c r="H36" s="6"/>
      <c r="I36" s="6"/>
    </row>
    <row r="37" spans="1:9" x14ac:dyDescent="0.35">
      <c r="A37" s="8"/>
      <c r="B37" s="8"/>
      <c r="C37" s="8"/>
      <c r="D37" s="8"/>
      <c r="E37" s="8"/>
      <c r="F37" s="8"/>
      <c r="G37" s="9"/>
      <c r="H37" s="8"/>
      <c r="I37" s="8"/>
    </row>
    <row r="38" spans="1:9" x14ac:dyDescent="0.35">
      <c r="A38" s="6"/>
      <c r="B38" s="6"/>
      <c r="C38" s="6"/>
      <c r="D38" s="6"/>
      <c r="E38" s="6"/>
      <c r="F38" s="6"/>
      <c r="G38" s="7"/>
      <c r="H38" s="6"/>
      <c r="I38" s="6"/>
    </row>
    <row r="39" spans="1:9" x14ac:dyDescent="0.35">
      <c r="A39" s="8"/>
      <c r="B39" s="8"/>
      <c r="C39" s="8"/>
      <c r="D39" s="8"/>
      <c r="E39" s="8"/>
      <c r="F39" s="8"/>
      <c r="G39" s="9"/>
      <c r="H39" s="8"/>
      <c r="I39" s="11"/>
    </row>
    <row r="40" spans="1:9" x14ac:dyDescent="0.35">
      <c r="A40" s="12"/>
      <c r="B40" s="12"/>
      <c r="C40" s="12"/>
      <c r="D40" s="12"/>
      <c r="E40" s="12"/>
      <c r="F40" s="13"/>
      <c r="G40" s="12"/>
      <c r="H40" s="12"/>
      <c r="I40" s="12"/>
    </row>
    <row r="41" spans="1:9" x14ac:dyDescent="0.35">
      <c r="A41" s="2"/>
      <c r="B41" s="2"/>
      <c r="C41" s="14"/>
      <c r="D41" s="3"/>
      <c r="E41" s="3"/>
      <c r="F41" s="4"/>
      <c r="G41" s="3"/>
      <c r="H41" s="5"/>
      <c r="I41" s="3"/>
    </row>
    <row r="42" spans="1:9" x14ac:dyDescent="0.35">
      <c r="A42" s="6"/>
      <c r="B42" s="6"/>
      <c r="C42" s="6"/>
      <c r="D42" s="6"/>
      <c r="E42" s="6"/>
      <c r="F42" s="6"/>
      <c r="G42" s="7"/>
      <c r="H42" s="7"/>
      <c r="I42" s="6"/>
    </row>
    <row r="43" spans="1:9" x14ac:dyDescent="0.35">
      <c r="A43" s="8"/>
      <c r="B43" s="8"/>
      <c r="C43" s="8"/>
      <c r="D43" s="8"/>
      <c r="E43" s="8"/>
      <c r="F43" s="8"/>
      <c r="G43" s="9"/>
      <c r="H43" s="9"/>
      <c r="I43" s="8"/>
    </row>
    <row r="44" spans="1:9" x14ac:dyDescent="0.35">
      <c r="A44" s="6"/>
      <c r="B44" s="6"/>
      <c r="C44" s="6"/>
      <c r="D44" s="6"/>
      <c r="E44" s="6"/>
      <c r="F44" s="6"/>
      <c r="G44" s="7"/>
      <c r="H44" s="7"/>
      <c r="I44" s="6"/>
    </row>
    <row r="45" spans="1:9" x14ac:dyDescent="0.35">
      <c r="A45" s="8"/>
      <c r="B45" s="8"/>
      <c r="C45" s="8"/>
      <c r="D45" s="8"/>
      <c r="E45" s="8"/>
      <c r="F45" s="8"/>
      <c r="G45" s="9"/>
      <c r="H45" s="9"/>
      <c r="I45" s="8"/>
    </row>
    <row r="46" spans="1:9" x14ac:dyDescent="0.35">
      <c r="A46" s="6"/>
      <c r="B46" s="6"/>
      <c r="C46" s="6"/>
      <c r="D46" s="6"/>
      <c r="E46" s="6"/>
      <c r="F46" s="6"/>
      <c r="G46" s="7"/>
      <c r="H46" s="7"/>
      <c r="I46" s="6"/>
    </row>
    <row r="47" spans="1:9" x14ac:dyDescent="0.35">
      <c r="A47" s="8"/>
      <c r="B47" s="8"/>
      <c r="C47" s="8"/>
      <c r="D47" s="8"/>
      <c r="E47" s="8"/>
      <c r="F47" s="8"/>
      <c r="G47" s="9"/>
      <c r="H47" s="9"/>
      <c r="I47" s="8"/>
    </row>
    <row r="48" spans="1:9" x14ac:dyDescent="0.35">
      <c r="A48" s="6"/>
      <c r="B48" s="6"/>
      <c r="C48" s="6"/>
      <c r="D48" s="6"/>
      <c r="E48" s="6"/>
      <c r="F48" s="6"/>
      <c r="G48" s="7"/>
      <c r="H48" s="6"/>
      <c r="I48" s="6"/>
    </row>
    <row r="49" spans="1:9" x14ac:dyDescent="0.35">
      <c r="A49" s="8"/>
      <c r="B49" s="8"/>
      <c r="C49" s="8"/>
      <c r="D49" s="8"/>
      <c r="E49" s="8"/>
      <c r="F49" s="8"/>
      <c r="G49" s="9"/>
      <c r="H49" s="8"/>
      <c r="I49" s="11"/>
    </row>
    <row r="50" spans="1:9" x14ac:dyDescent="0.35">
      <c r="A50" s="12"/>
      <c r="B50" s="12"/>
      <c r="C50" s="12"/>
      <c r="D50" s="12"/>
      <c r="E50" s="12"/>
      <c r="F50" s="13"/>
      <c r="G50" s="12"/>
      <c r="H50" s="12"/>
      <c r="I50" s="12"/>
    </row>
    <row r="51" spans="1:9" x14ac:dyDescent="0.35">
      <c r="A51" s="2"/>
      <c r="B51" s="2"/>
      <c r="C51" s="3"/>
      <c r="D51" s="3"/>
      <c r="E51" s="3"/>
      <c r="F51" s="4"/>
      <c r="G51" s="3"/>
      <c r="H51" s="5"/>
      <c r="I51" s="3"/>
    </row>
    <row r="52" spans="1:9" x14ac:dyDescent="0.35">
      <c r="A52" s="6"/>
      <c r="B52" s="6"/>
      <c r="C52" s="6"/>
      <c r="D52" s="6"/>
      <c r="E52" s="6"/>
      <c r="F52" s="6"/>
      <c r="G52" s="7"/>
      <c r="H52" s="7"/>
      <c r="I52" s="6"/>
    </row>
    <row r="53" spans="1:9" x14ac:dyDescent="0.35">
      <c r="A53" s="8"/>
      <c r="B53" s="8"/>
      <c r="C53" s="8"/>
      <c r="D53" s="8"/>
      <c r="E53" s="8"/>
      <c r="F53" s="8"/>
      <c r="G53" s="9"/>
      <c r="H53" s="9"/>
      <c r="I53" s="8"/>
    </row>
    <row r="54" spans="1:9" x14ac:dyDescent="0.35">
      <c r="A54" s="6"/>
      <c r="B54" s="6"/>
      <c r="C54" s="6"/>
      <c r="D54" s="6"/>
      <c r="E54" s="6"/>
      <c r="F54" s="6"/>
      <c r="G54" s="7"/>
      <c r="H54" s="7"/>
      <c r="I54" s="7"/>
    </row>
    <row r="55" spans="1:9" x14ac:dyDescent="0.35">
      <c r="A55" s="8"/>
      <c r="B55" s="8"/>
      <c r="C55" s="8"/>
      <c r="D55" s="8"/>
      <c r="E55" s="8"/>
      <c r="F55" s="8"/>
      <c r="G55" s="9"/>
      <c r="H55" s="8"/>
      <c r="I55" s="8"/>
    </row>
    <row r="56" spans="1:9" x14ac:dyDescent="0.35">
      <c r="A56" s="6"/>
      <c r="B56" s="6"/>
      <c r="C56" s="6"/>
      <c r="D56" s="6"/>
      <c r="E56" s="6"/>
      <c r="F56" s="6"/>
      <c r="G56" s="7"/>
      <c r="H56" s="6"/>
      <c r="I56" s="7"/>
    </row>
    <row r="57" spans="1:9" x14ac:dyDescent="0.35">
      <c r="A57" s="8"/>
      <c r="B57" s="8"/>
      <c r="C57" s="8"/>
      <c r="D57" s="8"/>
      <c r="E57" s="8"/>
      <c r="F57" s="8"/>
      <c r="G57" s="9"/>
      <c r="H57" s="8"/>
      <c r="I57" s="9"/>
    </row>
    <row r="58" spans="1:9" x14ac:dyDescent="0.35">
      <c r="A58" s="6"/>
      <c r="B58" s="6"/>
      <c r="C58" s="6"/>
      <c r="D58" s="6"/>
      <c r="E58" s="6"/>
      <c r="F58" s="6"/>
      <c r="G58" s="7"/>
      <c r="H58" s="6"/>
      <c r="I58" s="6"/>
    </row>
    <row r="59" spans="1:9" x14ac:dyDescent="0.35">
      <c r="A59" s="8"/>
      <c r="B59" s="8"/>
      <c r="C59" s="8"/>
      <c r="D59" s="8"/>
      <c r="E59" s="8"/>
      <c r="F59" s="8"/>
      <c r="G59" s="9"/>
      <c r="H59" s="8"/>
      <c r="I59" s="8"/>
    </row>
    <row r="60" spans="1:9" x14ac:dyDescent="0.35">
      <c r="A60" s="6"/>
      <c r="B60" s="6"/>
      <c r="C60" s="6"/>
      <c r="D60" s="6"/>
      <c r="E60" s="6"/>
      <c r="F60" s="6"/>
      <c r="G60" s="7"/>
      <c r="H60" s="6"/>
      <c r="I60" s="15"/>
    </row>
    <row r="61" spans="1:9" x14ac:dyDescent="0.35">
      <c r="A61" s="12"/>
      <c r="B61" s="12"/>
      <c r="C61" s="12"/>
      <c r="D61" s="12"/>
      <c r="E61" s="12"/>
      <c r="F61" s="13"/>
      <c r="G61" s="12"/>
      <c r="H61" s="12"/>
      <c r="I61" s="12"/>
    </row>
    <row r="62" spans="1:9" x14ac:dyDescent="0.35">
      <c r="A62" s="2"/>
      <c r="B62" s="2"/>
      <c r="C62" s="3"/>
      <c r="D62" s="3"/>
      <c r="E62" s="3"/>
      <c r="F62" s="4"/>
      <c r="G62" s="3"/>
      <c r="H62" s="5"/>
      <c r="I62" s="3"/>
    </row>
    <row r="63" spans="1:9" x14ac:dyDescent="0.35">
      <c r="A63" s="6"/>
      <c r="B63" s="6"/>
      <c r="C63" s="6"/>
      <c r="D63" s="6"/>
      <c r="E63" s="6"/>
      <c r="F63" s="6"/>
      <c r="G63" s="7"/>
      <c r="H63" s="7"/>
      <c r="I63" s="6"/>
    </row>
    <row r="64" spans="1:9" x14ac:dyDescent="0.35">
      <c r="A64" s="8"/>
      <c r="B64" s="8"/>
      <c r="C64" s="8"/>
      <c r="D64" s="8"/>
      <c r="E64" s="8"/>
      <c r="F64" s="8"/>
      <c r="G64" s="9"/>
      <c r="H64" s="9"/>
      <c r="I64" s="8"/>
    </row>
    <row r="65" spans="1:9" x14ac:dyDescent="0.35">
      <c r="A65" s="6"/>
      <c r="B65" s="6"/>
      <c r="C65" s="6"/>
      <c r="D65" s="6"/>
      <c r="E65" s="6"/>
      <c r="F65" s="6"/>
      <c r="G65" s="7"/>
      <c r="H65" s="7"/>
      <c r="I65" s="6"/>
    </row>
    <row r="66" spans="1:9" x14ac:dyDescent="0.35">
      <c r="A66" s="8"/>
      <c r="B66" s="8"/>
      <c r="C66" s="8"/>
      <c r="D66" s="8"/>
      <c r="E66" s="8"/>
      <c r="F66" s="8"/>
      <c r="G66" s="9"/>
      <c r="H66" s="8"/>
      <c r="I66" s="8"/>
    </row>
    <row r="67" spans="1:9" x14ac:dyDescent="0.35">
      <c r="A67" s="6"/>
      <c r="B67" s="6"/>
      <c r="C67" s="6"/>
      <c r="D67" s="6"/>
      <c r="E67" s="6"/>
      <c r="F67" s="6"/>
      <c r="G67" s="7"/>
      <c r="H67" s="6"/>
      <c r="I67" s="6"/>
    </row>
    <row r="68" spans="1:9" x14ac:dyDescent="0.35">
      <c r="A68" s="8"/>
      <c r="B68" s="8"/>
      <c r="C68" s="8"/>
      <c r="D68" s="8"/>
      <c r="E68" s="8"/>
      <c r="F68" s="8"/>
      <c r="G68" s="9"/>
      <c r="H68" s="8"/>
      <c r="I68" s="8"/>
    </row>
    <row r="69" spans="1:9" x14ac:dyDescent="0.35">
      <c r="A69" s="6"/>
      <c r="B69" s="6"/>
      <c r="C69" s="6"/>
      <c r="D69" s="6"/>
      <c r="E69" s="6"/>
      <c r="F69" s="6"/>
      <c r="G69" s="7"/>
      <c r="H69" s="6"/>
      <c r="I69" s="6"/>
    </row>
    <row r="70" spans="1:9" x14ac:dyDescent="0.35">
      <c r="A70" s="8"/>
      <c r="B70" s="8"/>
      <c r="C70" s="8"/>
      <c r="D70" s="8"/>
      <c r="E70" s="8"/>
      <c r="F70" s="8"/>
      <c r="G70" s="9"/>
      <c r="H70" s="8"/>
      <c r="I70" s="11"/>
    </row>
    <row r="71" spans="1:9" x14ac:dyDescent="0.35">
      <c r="A71" s="6"/>
      <c r="B71" s="6"/>
      <c r="C71" s="6"/>
      <c r="D71" s="6"/>
      <c r="E71" s="6"/>
      <c r="F71" s="6"/>
      <c r="G71" s="7"/>
      <c r="H71" s="6"/>
      <c r="I71" s="15"/>
    </row>
    <row r="72" spans="1:9" x14ac:dyDescent="0.35">
      <c r="A72" s="8"/>
      <c r="B72" s="8"/>
      <c r="C72" s="8"/>
      <c r="D72" s="8"/>
      <c r="E72" s="8"/>
      <c r="F72" s="8"/>
      <c r="G72" s="9"/>
      <c r="H72" s="8"/>
      <c r="I72" s="11"/>
    </row>
    <row r="73" spans="1:9" x14ac:dyDescent="0.35">
      <c r="A73" s="12"/>
      <c r="B73" s="12"/>
      <c r="C73" s="12"/>
      <c r="D73" s="12"/>
      <c r="E73" s="12"/>
      <c r="F73" s="13"/>
      <c r="G73" s="12"/>
      <c r="H73" s="12"/>
      <c r="I73" s="12"/>
    </row>
    <row r="75" spans="1:9" x14ac:dyDescent="0.35">
      <c r="A75" s="16"/>
      <c r="B75" s="16"/>
      <c r="C75" s="16"/>
      <c r="D75" s="16"/>
      <c r="E75" s="16"/>
      <c r="F75" s="17" t="s">
        <v>11</v>
      </c>
      <c r="G75" s="16"/>
      <c r="H75" s="17" t="s">
        <v>12</v>
      </c>
      <c r="I75" s="16"/>
    </row>
  </sheetData>
  <autoFilter ref="A3:I73" xr:uid="{00000000-0009-0000-0000-000002000000}"/>
  <mergeCells count="2">
    <mergeCell ref="A1:I1"/>
    <mergeCell ref="A2:I2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2"/>
  <sheetViews>
    <sheetView showGridLines="0" tabSelected="1" zoomScaleNormal="100" workbookViewId="0">
      <pane ySplit="3" topLeftCell="A18" activePane="bottomLeft" state="frozen"/>
      <selection pane="bottomLeft" activeCell="B4" sqref="B4:I42"/>
    </sheetView>
  </sheetViews>
  <sheetFormatPr defaultColWidth="8.54296875" defaultRowHeight="14.5" x14ac:dyDescent="0.35"/>
  <cols>
    <col min="1" max="1" width="5" customWidth="1"/>
    <col min="2" max="2" width="11.54296875" customWidth="1"/>
    <col min="3" max="3" width="22" customWidth="1"/>
    <col min="4" max="4" width="20" customWidth="1"/>
    <col min="5" max="5" width="14.1796875" customWidth="1"/>
    <col min="6" max="6" width="23.81640625" customWidth="1"/>
    <col min="7" max="7" width="17.1796875" customWidth="1"/>
    <col min="8" max="8" width="18.453125" customWidth="1"/>
    <col min="9" max="9" width="16.81640625" customWidth="1"/>
  </cols>
  <sheetData>
    <row r="1" spans="1:9" ht="25.5" customHeight="1" x14ac:dyDescent="0.35">
      <c r="A1" s="20" t="s">
        <v>13</v>
      </c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5">
      <c r="A4" s="2">
        <v>1</v>
      </c>
      <c r="B4" s="2"/>
      <c r="C4" s="3"/>
      <c r="D4" s="3"/>
      <c r="E4" s="3"/>
      <c r="F4" s="4"/>
      <c r="G4" s="3"/>
      <c r="H4" s="5"/>
      <c r="I4" s="3"/>
    </row>
    <row r="5" spans="1:9" x14ac:dyDescent="0.35">
      <c r="A5" s="6"/>
      <c r="B5" s="6"/>
      <c r="C5" s="6"/>
      <c r="D5" s="6"/>
      <c r="E5" s="6"/>
      <c r="F5" s="6"/>
      <c r="G5" s="7"/>
      <c r="H5" s="7"/>
      <c r="I5" s="6"/>
    </row>
    <row r="6" spans="1:9" x14ac:dyDescent="0.35">
      <c r="A6" s="8"/>
      <c r="B6" s="8"/>
      <c r="C6" s="8"/>
      <c r="D6" s="8"/>
      <c r="E6" s="8"/>
      <c r="F6" s="8"/>
      <c r="G6" s="9"/>
      <c r="H6" s="9"/>
      <c r="I6" s="8"/>
    </row>
    <row r="7" spans="1:9" x14ac:dyDescent="0.35">
      <c r="A7" s="6"/>
      <c r="B7" s="6"/>
      <c r="C7" s="6"/>
      <c r="D7" s="6"/>
      <c r="E7" s="6"/>
      <c r="F7" s="6"/>
      <c r="G7" s="7"/>
      <c r="H7" s="7"/>
      <c r="I7" s="6"/>
    </row>
    <row r="8" spans="1:9" x14ac:dyDescent="0.35">
      <c r="A8" s="8"/>
      <c r="B8" s="8"/>
      <c r="C8" s="8"/>
      <c r="D8" s="8"/>
      <c r="E8" s="8"/>
      <c r="F8" s="8"/>
      <c r="G8" s="9"/>
      <c r="H8" s="8"/>
      <c r="I8" s="8"/>
    </row>
    <row r="9" spans="1:9" x14ac:dyDescent="0.35">
      <c r="A9" s="6"/>
      <c r="B9" s="6"/>
      <c r="C9" s="6"/>
      <c r="D9" s="6"/>
      <c r="E9" s="6"/>
      <c r="F9" s="6"/>
      <c r="G9" s="7"/>
      <c r="H9" s="6"/>
      <c r="I9" s="6"/>
    </row>
    <row r="10" spans="1:9" x14ac:dyDescent="0.35">
      <c r="A10" s="8"/>
      <c r="B10" s="8"/>
      <c r="C10" s="8"/>
      <c r="D10" s="8"/>
      <c r="E10" s="8"/>
      <c r="F10" s="8"/>
      <c r="G10" s="9"/>
      <c r="H10" s="8"/>
      <c r="I10" s="8"/>
    </row>
    <row r="11" spans="1:9" x14ac:dyDescent="0.35">
      <c r="A11" s="6"/>
      <c r="B11" s="6"/>
      <c r="C11" s="6"/>
      <c r="D11" s="6"/>
      <c r="E11" s="6"/>
      <c r="F11" s="6"/>
      <c r="G11" s="7"/>
      <c r="H11" s="6"/>
      <c r="I11" s="15"/>
    </row>
    <row r="12" spans="1:9" x14ac:dyDescent="0.35">
      <c r="A12" s="8"/>
      <c r="B12" s="8"/>
      <c r="C12" s="8"/>
      <c r="D12" s="8"/>
      <c r="E12" s="8"/>
      <c r="F12" s="8"/>
      <c r="G12" s="9"/>
      <c r="H12" s="8"/>
      <c r="I12" s="8"/>
    </row>
    <row r="13" spans="1:9" x14ac:dyDescent="0.35">
      <c r="A13" s="12"/>
      <c r="B13" s="12"/>
      <c r="C13" s="12"/>
      <c r="D13" s="12"/>
      <c r="E13" s="12"/>
      <c r="F13" s="13"/>
      <c r="G13" s="12"/>
      <c r="H13" s="12"/>
      <c r="I13" s="12"/>
    </row>
    <row r="14" spans="1:9" x14ac:dyDescent="0.35">
      <c r="A14" s="2">
        <v>2</v>
      </c>
      <c r="B14" s="2"/>
      <c r="C14" s="3"/>
      <c r="D14" s="3"/>
      <c r="E14" s="3"/>
      <c r="F14" s="4"/>
      <c r="G14" s="3"/>
      <c r="H14" s="5"/>
      <c r="I14" s="3"/>
    </row>
    <row r="15" spans="1:9" x14ac:dyDescent="0.35">
      <c r="A15" s="6"/>
      <c r="B15" s="6"/>
      <c r="C15" s="6"/>
      <c r="D15" s="6"/>
      <c r="E15" s="6"/>
      <c r="F15" s="6"/>
      <c r="G15" s="7"/>
      <c r="H15" s="7"/>
      <c r="I15" s="6"/>
    </row>
    <row r="16" spans="1:9" x14ac:dyDescent="0.35">
      <c r="A16" s="8"/>
      <c r="B16" s="8"/>
      <c r="C16" s="8"/>
      <c r="D16" s="8"/>
      <c r="E16" s="8"/>
      <c r="F16" s="8"/>
      <c r="G16" s="9"/>
      <c r="H16" s="9"/>
      <c r="I16" s="8"/>
    </row>
    <row r="17" spans="1:9" x14ac:dyDescent="0.35">
      <c r="A17" s="6"/>
      <c r="B17" s="6"/>
      <c r="C17" s="6"/>
      <c r="D17" s="6"/>
      <c r="E17" s="6"/>
      <c r="F17" s="6"/>
      <c r="G17" s="7"/>
      <c r="H17" s="7"/>
      <c r="I17" s="6"/>
    </row>
    <row r="18" spans="1:9" x14ac:dyDescent="0.35">
      <c r="A18" s="8"/>
      <c r="B18" s="8"/>
      <c r="C18" s="8"/>
      <c r="D18" s="8"/>
      <c r="E18" s="8"/>
      <c r="F18" s="8"/>
      <c r="G18" s="9"/>
      <c r="H18" s="8"/>
      <c r="I18" s="8"/>
    </row>
    <row r="19" spans="1:9" x14ac:dyDescent="0.35">
      <c r="A19" s="6"/>
      <c r="B19" s="6"/>
      <c r="C19" s="6"/>
      <c r="D19" s="6"/>
      <c r="E19" s="6"/>
      <c r="F19" s="6"/>
      <c r="G19" s="7"/>
      <c r="H19" s="6"/>
      <c r="I19" s="6"/>
    </row>
    <row r="20" spans="1:9" x14ac:dyDescent="0.35">
      <c r="A20" s="8"/>
      <c r="B20" s="8"/>
      <c r="C20" s="8"/>
      <c r="D20" s="8"/>
      <c r="E20" s="8"/>
      <c r="F20" s="8"/>
      <c r="G20" s="9"/>
      <c r="H20" s="8"/>
      <c r="I20" s="8"/>
    </row>
    <row r="21" spans="1:9" x14ac:dyDescent="0.35">
      <c r="A21" s="6"/>
      <c r="B21" s="6"/>
      <c r="C21" s="6"/>
      <c r="D21" s="6"/>
      <c r="E21" s="6"/>
      <c r="F21" s="6"/>
      <c r="G21" s="7"/>
      <c r="H21" s="6"/>
      <c r="I21" s="15"/>
    </row>
    <row r="22" spans="1:9" x14ac:dyDescent="0.35">
      <c r="A22" s="12"/>
      <c r="B22" s="12"/>
      <c r="C22" s="12"/>
      <c r="D22" s="12"/>
      <c r="E22" s="12"/>
      <c r="F22" s="13"/>
      <c r="G22" s="12"/>
      <c r="H22" s="12"/>
      <c r="I22" s="12"/>
    </row>
    <row r="23" spans="1:9" x14ac:dyDescent="0.35">
      <c r="A23" s="2">
        <v>3</v>
      </c>
      <c r="B23" s="2"/>
      <c r="C23" s="3"/>
      <c r="D23" s="3"/>
      <c r="E23" s="3"/>
      <c r="F23" s="4"/>
      <c r="G23" s="3"/>
      <c r="H23" s="5"/>
      <c r="I23" s="3"/>
    </row>
    <row r="24" spans="1:9" x14ac:dyDescent="0.35">
      <c r="A24" s="6"/>
      <c r="B24" s="6"/>
      <c r="C24" s="6"/>
      <c r="D24" s="6"/>
      <c r="E24" s="6"/>
      <c r="F24" s="6"/>
      <c r="G24" s="7"/>
      <c r="H24" s="7"/>
      <c r="I24" s="6"/>
    </row>
    <row r="25" spans="1:9" x14ac:dyDescent="0.35">
      <c r="A25" s="8"/>
      <c r="B25" s="8"/>
      <c r="C25" s="8"/>
      <c r="D25" s="8"/>
      <c r="E25" s="8"/>
      <c r="F25" s="8"/>
      <c r="G25" s="9"/>
      <c r="H25" s="9"/>
      <c r="I25" s="8"/>
    </row>
    <row r="26" spans="1:9" x14ac:dyDescent="0.35">
      <c r="A26" s="6"/>
      <c r="B26" s="6"/>
      <c r="C26" s="6"/>
      <c r="D26" s="6"/>
      <c r="E26" s="6"/>
      <c r="F26" s="6"/>
      <c r="G26" s="7"/>
      <c r="H26" s="6"/>
      <c r="I26" s="6"/>
    </row>
    <row r="27" spans="1:9" x14ac:dyDescent="0.35">
      <c r="A27" s="8"/>
      <c r="B27" s="8"/>
      <c r="C27" s="8"/>
      <c r="D27" s="8"/>
      <c r="E27" s="8"/>
      <c r="F27" s="8"/>
      <c r="G27" s="9"/>
      <c r="H27" s="8"/>
      <c r="I27" s="8"/>
    </row>
    <row r="28" spans="1:9" x14ac:dyDescent="0.35">
      <c r="A28" s="6"/>
      <c r="B28" s="6"/>
      <c r="C28" s="6"/>
      <c r="D28" s="6"/>
      <c r="E28" s="6"/>
      <c r="F28" s="6"/>
      <c r="G28" s="7"/>
      <c r="H28" s="6"/>
      <c r="I28" s="6"/>
    </row>
    <row r="29" spans="1:9" x14ac:dyDescent="0.35">
      <c r="A29" s="8"/>
      <c r="B29" s="8"/>
      <c r="C29" s="8"/>
      <c r="D29" s="8"/>
      <c r="E29" s="8"/>
      <c r="F29" s="8"/>
      <c r="G29" s="9"/>
      <c r="H29" s="8"/>
      <c r="I29" s="8"/>
    </row>
    <row r="30" spans="1:9" x14ac:dyDescent="0.35">
      <c r="A30" s="6"/>
      <c r="B30" s="6"/>
      <c r="C30" s="6"/>
      <c r="D30" s="6"/>
      <c r="E30" s="6"/>
      <c r="F30" s="6"/>
      <c r="G30" s="7"/>
      <c r="H30" s="6"/>
      <c r="I30" s="6"/>
    </row>
    <row r="31" spans="1:9" x14ac:dyDescent="0.35">
      <c r="A31" s="8"/>
      <c r="B31" s="8"/>
      <c r="C31" s="8"/>
      <c r="D31" s="8"/>
      <c r="E31" s="8"/>
      <c r="F31" s="8"/>
      <c r="G31" s="9"/>
      <c r="H31" s="8"/>
      <c r="I31" s="11"/>
    </row>
    <row r="32" spans="1:9" x14ac:dyDescent="0.35">
      <c r="A32" s="12"/>
      <c r="B32" s="12"/>
      <c r="C32" s="12"/>
      <c r="D32" s="12"/>
      <c r="E32" s="12"/>
      <c r="F32" s="13"/>
      <c r="G32" s="12"/>
      <c r="H32" s="12"/>
      <c r="I32" s="12"/>
    </row>
    <row r="33" spans="1:9" x14ac:dyDescent="0.35">
      <c r="A33" s="2">
        <v>4</v>
      </c>
      <c r="B33" s="2"/>
      <c r="C33" s="3"/>
      <c r="D33" s="3"/>
      <c r="E33" s="3"/>
      <c r="F33" s="4"/>
      <c r="G33" s="3"/>
      <c r="H33" s="5"/>
      <c r="I33" s="3"/>
    </row>
    <row r="34" spans="1:9" x14ac:dyDescent="0.35">
      <c r="A34" s="6"/>
      <c r="B34" s="6"/>
      <c r="C34" s="6"/>
      <c r="D34" s="6"/>
      <c r="E34" s="6"/>
      <c r="F34" s="6"/>
      <c r="G34" s="7"/>
      <c r="H34" s="7"/>
      <c r="I34" s="6"/>
    </row>
    <row r="35" spans="1:9" x14ac:dyDescent="0.35">
      <c r="A35" s="8"/>
      <c r="B35" s="8"/>
      <c r="C35" s="8"/>
      <c r="D35" s="8"/>
      <c r="E35" s="8"/>
      <c r="F35" s="8"/>
      <c r="G35" s="9"/>
      <c r="H35" s="9"/>
      <c r="I35" s="8"/>
    </row>
    <row r="36" spans="1:9" x14ac:dyDescent="0.35">
      <c r="A36" s="6"/>
      <c r="B36" s="6"/>
      <c r="C36" s="6"/>
      <c r="D36" s="6"/>
      <c r="E36" s="6"/>
      <c r="F36" s="6"/>
      <c r="G36" s="7"/>
      <c r="H36" s="7"/>
      <c r="I36" s="6"/>
    </row>
    <row r="37" spans="1:9" x14ac:dyDescent="0.35">
      <c r="A37" s="8"/>
      <c r="B37" s="8"/>
      <c r="C37" s="8"/>
      <c r="D37" s="8"/>
      <c r="E37" s="8"/>
      <c r="F37" s="8"/>
      <c r="G37" s="9"/>
      <c r="H37" s="8"/>
      <c r="I37" s="8"/>
    </row>
    <row r="38" spans="1:9" x14ac:dyDescent="0.35">
      <c r="A38" s="6"/>
      <c r="B38" s="6"/>
      <c r="C38" s="6"/>
      <c r="D38" s="6"/>
      <c r="E38" s="6"/>
      <c r="F38" s="6"/>
      <c r="G38" s="7"/>
      <c r="H38" s="6"/>
      <c r="I38" s="6"/>
    </row>
    <row r="39" spans="1:9" x14ac:dyDescent="0.35">
      <c r="A39" s="8"/>
      <c r="B39" s="8"/>
      <c r="C39" s="8"/>
      <c r="D39" s="8"/>
      <c r="E39" s="8"/>
      <c r="F39" s="8"/>
      <c r="G39" s="9"/>
      <c r="H39" s="8"/>
      <c r="I39" s="8"/>
    </row>
    <row r="40" spans="1:9" x14ac:dyDescent="0.35">
      <c r="A40" s="6"/>
      <c r="B40" s="6"/>
      <c r="C40" s="6"/>
      <c r="D40" s="6"/>
      <c r="E40" s="6"/>
      <c r="F40" s="6"/>
      <c r="G40" s="7"/>
      <c r="H40" s="6"/>
      <c r="I40" s="15"/>
    </row>
    <row r="41" spans="1:9" x14ac:dyDescent="0.35">
      <c r="A41" s="8"/>
      <c r="B41" s="8"/>
      <c r="C41" s="8"/>
      <c r="D41" s="8"/>
      <c r="E41" s="8"/>
      <c r="F41" s="8"/>
      <c r="G41" s="9"/>
      <c r="H41" s="8"/>
      <c r="I41" s="8"/>
    </row>
    <row r="42" spans="1:9" x14ac:dyDescent="0.35">
      <c r="A42" s="12"/>
      <c r="B42" s="12"/>
      <c r="C42" s="12"/>
      <c r="D42" s="12"/>
      <c r="E42" s="12"/>
      <c r="F42" s="13"/>
      <c r="G42" s="12"/>
      <c r="H42" s="12"/>
      <c r="I42" s="12"/>
    </row>
  </sheetData>
  <autoFilter ref="A3:I42" xr:uid="{00000000-0009-0000-0000-000003000000}"/>
  <mergeCells count="2">
    <mergeCell ref="A1:I1"/>
    <mergeCell ref="A2:I2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15"/>
  <sheetViews>
    <sheetView zoomScaleNormal="100" workbookViewId="0"/>
  </sheetViews>
  <sheetFormatPr defaultColWidth="8.54296875" defaultRowHeight="14.5" x14ac:dyDescent="0.35"/>
  <sheetData>
    <row r="1" spans="1:12" x14ac:dyDescent="0.35">
      <c r="A1" t="s">
        <v>14</v>
      </c>
      <c r="K1" t="s">
        <v>15</v>
      </c>
      <c r="L1">
        <v>0</v>
      </c>
    </row>
    <row r="2" spans="1:12" x14ac:dyDescent="0.35">
      <c r="A2">
        <v>4</v>
      </c>
      <c r="B2">
        <f>IF(ISBLANK(INDEX('Milestone Tracker – IHP'!$B:$B,4)),B1,INDEX('Milestone Tracker – IHP'!$B:$B,4))</f>
        <v>0</v>
      </c>
      <c r="C2">
        <f>IF(ISBLANK(INDEX('Milestone Tracker – IHP'!$C:$C,4)),C1,INDEX('Milestone Tracker – IHP'!$C:$C,4))</f>
        <v>0</v>
      </c>
      <c r="D2">
        <f>IF(ISBLANK(INDEX('Milestone Tracker – IHP'!$D:$D,4)),D1,INDEX('Milestone Tracker – IHP'!$D:$D,4))</f>
        <v>0</v>
      </c>
      <c r="E2" t="str">
        <f>IF(ISBLANK(INDEX('Milestone Tracker – IHP'!$E:$E,4)),"",INDEX('Milestone Tracker – IHP'!$E:$E,4))</f>
        <v/>
      </c>
      <c r="F2" t="str">
        <f>IF(ISBLANK(INDEX('Milestone Tracker – IHP'!$F:$F,4)),"",INDEX('Milestone Tracker – IHP'!$F:$F,4))</f>
        <v/>
      </c>
      <c r="G2" s="18" t="e">
        <f>IF(ISBLANK(INDEX('Milestone Tracker – IHP'!#REF!,4)),"",INDEX('Milestone Tracker – IHP'!#REF!,4))</f>
        <v>#REF!</v>
      </c>
      <c r="H2" t="str">
        <f>IF(ISBLANK(INDEX('Milestone Tracker – IHP'!$G:$G,4)),"",INDEX('Milestone Tracker – IHP'!$G:$G,4))</f>
        <v/>
      </c>
      <c r="I2" t="str">
        <f>IF(ISBLANK(INDEX('Milestone Tracker – IHP'!$H:$H,4)),"",INDEX('Milestone Tracker – IHP'!$H:$H,4))</f>
        <v/>
      </c>
      <c r="J2" s="18" t="e">
        <f>IF(ISBLANK(INDEX('Milestone Tracker – IHP'!#REF!,4)),"",INDEX('Milestone Tracker – IHP'!#REF!,4))</f>
        <v>#REF!</v>
      </c>
      <c r="K2">
        <f t="shared" ref="K2:K65" si="0">IF(LEFT($E2,9)="Milestone",1,0)</f>
        <v>0</v>
      </c>
      <c r="L2">
        <f t="shared" ref="L2:L65" si="1">L1+K2</f>
        <v>0</v>
      </c>
    </row>
    <row r="3" spans="1:12" x14ac:dyDescent="0.35">
      <c r="A3">
        <v>5</v>
      </c>
      <c r="B3">
        <f>IF(ISBLANK(INDEX('Milestone Tracker – IHP'!$B:$B,5)),B2,INDEX('Milestone Tracker – IHP'!$B:$B,5))</f>
        <v>0</v>
      </c>
      <c r="C3">
        <f>IF(ISBLANK(INDEX('Milestone Tracker – IHP'!$C:$C,5)),C2,INDEX('Milestone Tracker – IHP'!$C:$C,5))</f>
        <v>0</v>
      </c>
      <c r="D3">
        <f>IF(ISBLANK(INDEX('Milestone Tracker – IHP'!$D:$D,5)),D2,INDEX('Milestone Tracker – IHP'!$D:$D,5))</f>
        <v>0</v>
      </c>
      <c r="E3" t="str">
        <f>IF(ISBLANK(INDEX('Milestone Tracker – IHP'!$E:$E,5)),"",INDEX('Milestone Tracker – IHP'!$E:$E,5))</f>
        <v/>
      </c>
      <c r="F3" t="str">
        <f>IF(ISBLANK(INDEX('Milestone Tracker – IHP'!$F:$F,5)),"",INDEX('Milestone Tracker – IHP'!$F:$F,5))</f>
        <v/>
      </c>
      <c r="G3" s="18" t="e">
        <f>IF(ISBLANK(INDEX('Milestone Tracker – IHP'!#REF!,5)),"",INDEX('Milestone Tracker – IHP'!#REF!,5))</f>
        <v>#REF!</v>
      </c>
      <c r="H3" s="19" t="str">
        <f>IF(ISBLANK(INDEX('Milestone Tracker – IHP'!$G:$G,5)),"",INDEX('Milestone Tracker – IHP'!$G:$G,5))</f>
        <v/>
      </c>
      <c r="I3" s="19" t="str">
        <f>IF(ISBLANK(INDEX('Milestone Tracker – IHP'!$H:$H,5)),"",INDEX('Milestone Tracker – IHP'!$H:$H,5))</f>
        <v/>
      </c>
      <c r="J3" s="19" t="e">
        <f>IF(ISBLANK(INDEX('Milestone Tracker – IHP'!#REF!,5)),"",INDEX('Milestone Tracker – IHP'!#REF!,5))</f>
        <v>#REF!</v>
      </c>
      <c r="K3">
        <f t="shared" si="0"/>
        <v>0</v>
      </c>
      <c r="L3">
        <f t="shared" si="1"/>
        <v>0</v>
      </c>
    </row>
    <row r="4" spans="1:12" x14ac:dyDescent="0.35">
      <c r="A4">
        <v>6</v>
      </c>
      <c r="B4">
        <f>IF(ISBLANK(INDEX('Milestone Tracker – IHP'!$B:$B,6)),B3,INDEX('Milestone Tracker – IHP'!$B:$B,6))</f>
        <v>0</v>
      </c>
      <c r="C4">
        <f>IF(ISBLANK(INDEX('Milestone Tracker – IHP'!$C:$C,6)),C3,INDEX('Milestone Tracker – IHP'!$C:$C,6))</f>
        <v>0</v>
      </c>
      <c r="D4">
        <f>IF(ISBLANK(INDEX('Milestone Tracker – IHP'!$D:$D,6)),D3,INDEX('Milestone Tracker – IHP'!$D:$D,6))</f>
        <v>0</v>
      </c>
      <c r="E4" t="str">
        <f>IF(ISBLANK(INDEX('Milestone Tracker – IHP'!$E:$E,6)),"",INDEX('Milestone Tracker – IHP'!$E:$E,6))</f>
        <v/>
      </c>
      <c r="F4" t="str">
        <f>IF(ISBLANK(INDEX('Milestone Tracker – IHP'!$F:$F,6)),"",INDEX('Milestone Tracker – IHP'!$F:$F,6))</f>
        <v/>
      </c>
      <c r="G4" s="18" t="e">
        <f>IF(ISBLANK(INDEX('Milestone Tracker – IHP'!#REF!,6)),"",INDEX('Milestone Tracker – IHP'!#REF!,6))</f>
        <v>#REF!</v>
      </c>
      <c r="H4" s="19" t="str">
        <f>IF(ISBLANK(INDEX('Milestone Tracker – IHP'!$G:$G,6)),"",INDEX('Milestone Tracker – IHP'!$G:$G,6))</f>
        <v/>
      </c>
      <c r="I4" s="19" t="str">
        <f>IF(ISBLANK(INDEX('Milestone Tracker – IHP'!$H:$H,6)),"",INDEX('Milestone Tracker – IHP'!$H:$H,6))</f>
        <v/>
      </c>
      <c r="J4" s="19" t="e">
        <f>IF(ISBLANK(INDEX('Milestone Tracker – IHP'!#REF!,6)),"",INDEX('Milestone Tracker – IHP'!#REF!,6))</f>
        <v>#REF!</v>
      </c>
      <c r="K4">
        <f t="shared" si="0"/>
        <v>0</v>
      </c>
      <c r="L4">
        <f t="shared" si="1"/>
        <v>0</v>
      </c>
    </row>
    <row r="5" spans="1:12" x14ac:dyDescent="0.35">
      <c r="A5">
        <v>7</v>
      </c>
      <c r="B5">
        <f>IF(ISBLANK(INDEX('Milestone Tracker – IHP'!$B:$B,7)),B4,INDEX('Milestone Tracker – IHP'!$B:$B,7))</f>
        <v>0</v>
      </c>
      <c r="C5">
        <f>IF(ISBLANK(INDEX('Milestone Tracker – IHP'!$C:$C,7)),C4,INDEX('Milestone Tracker – IHP'!$C:$C,7))</f>
        <v>0</v>
      </c>
      <c r="D5">
        <f>IF(ISBLANK(INDEX('Milestone Tracker – IHP'!$D:$D,7)),D4,INDEX('Milestone Tracker – IHP'!$D:$D,7))</f>
        <v>0</v>
      </c>
      <c r="E5" t="str">
        <f>IF(ISBLANK(INDEX('Milestone Tracker – IHP'!$E:$E,7)),"",INDEX('Milestone Tracker – IHP'!$E:$E,7))</f>
        <v/>
      </c>
      <c r="F5" t="str">
        <f>IF(ISBLANK(INDEX('Milestone Tracker – IHP'!$F:$F,7)),"",INDEX('Milestone Tracker – IHP'!$F:$F,7))</f>
        <v/>
      </c>
      <c r="G5" s="18" t="e">
        <f>IF(ISBLANK(INDEX('Milestone Tracker – IHP'!#REF!,7)),"",INDEX('Milestone Tracker – IHP'!#REF!,7))</f>
        <v>#REF!</v>
      </c>
      <c r="H5" s="19" t="str">
        <f>IF(ISBLANK(INDEX('Milestone Tracker – IHP'!$G:$G,7)),"",INDEX('Milestone Tracker – IHP'!$G:$G,7))</f>
        <v/>
      </c>
      <c r="I5" s="19" t="str">
        <f>IF(ISBLANK(INDEX('Milestone Tracker – IHP'!$H:$H,7)),"",INDEX('Milestone Tracker – IHP'!$H:$H,7))</f>
        <v/>
      </c>
      <c r="J5" s="19" t="e">
        <f>IF(ISBLANK(INDEX('Milestone Tracker – IHP'!#REF!,7)),"",INDEX('Milestone Tracker – IHP'!#REF!,7))</f>
        <v>#REF!</v>
      </c>
      <c r="K5">
        <f t="shared" si="0"/>
        <v>0</v>
      </c>
      <c r="L5">
        <f t="shared" si="1"/>
        <v>0</v>
      </c>
    </row>
    <row r="6" spans="1:12" x14ac:dyDescent="0.35">
      <c r="A6">
        <v>8</v>
      </c>
      <c r="B6">
        <f>IF(ISBLANK(INDEX('Milestone Tracker – IHP'!$B:$B,8)),B5,INDEX('Milestone Tracker – IHP'!$B:$B,8))</f>
        <v>0</v>
      </c>
      <c r="C6">
        <f>IF(ISBLANK(INDEX('Milestone Tracker – IHP'!$C:$C,8)),C5,INDEX('Milestone Tracker – IHP'!$C:$C,8))</f>
        <v>0</v>
      </c>
      <c r="D6">
        <f>IF(ISBLANK(INDEX('Milestone Tracker – IHP'!$D:$D,8)),D5,INDEX('Milestone Tracker – IHP'!$D:$D,8))</f>
        <v>0</v>
      </c>
      <c r="E6" t="str">
        <f>IF(ISBLANK(INDEX('Milestone Tracker – IHP'!$E:$E,8)),"",INDEX('Milestone Tracker – IHP'!$E:$E,8))</f>
        <v/>
      </c>
      <c r="F6" t="str">
        <f>IF(ISBLANK(INDEX('Milestone Tracker – IHP'!$F:$F,8)),"",INDEX('Milestone Tracker – IHP'!$F:$F,8))</f>
        <v/>
      </c>
      <c r="G6" s="18" t="e">
        <f>IF(ISBLANK(INDEX('Milestone Tracker – IHP'!#REF!,8)),"",INDEX('Milestone Tracker – IHP'!#REF!,8))</f>
        <v>#REF!</v>
      </c>
      <c r="H6" s="19" t="str">
        <f>IF(ISBLANK(INDEX('Milestone Tracker – IHP'!$G:$G,8)),"",INDEX('Milestone Tracker – IHP'!$G:$G,8))</f>
        <v/>
      </c>
      <c r="I6" s="19" t="str">
        <f>IF(ISBLANK(INDEX('Milestone Tracker – IHP'!$H:$H,8)),"",INDEX('Milestone Tracker – IHP'!$H:$H,8))</f>
        <v/>
      </c>
      <c r="J6" s="19" t="e">
        <f>IF(ISBLANK(INDEX('Milestone Tracker – IHP'!#REF!,8)),"",INDEX('Milestone Tracker – IHP'!#REF!,8))</f>
        <v>#REF!</v>
      </c>
      <c r="K6">
        <f t="shared" si="0"/>
        <v>0</v>
      </c>
      <c r="L6">
        <f t="shared" si="1"/>
        <v>0</v>
      </c>
    </row>
    <row r="7" spans="1:12" x14ac:dyDescent="0.35">
      <c r="A7">
        <v>9</v>
      </c>
      <c r="B7">
        <f>IF(ISBLANK(INDEX('Milestone Tracker – IHP'!$B:$B,9)),B6,INDEX('Milestone Tracker – IHP'!$B:$B,9))</f>
        <v>0</v>
      </c>
      <c r="C7">
        <f>IF(ISBLANK(INDEX('Milestone Tracker – IHP'!$C:$C,9)),C6,INDEX('Milestone Tracker – IHP'!$C:$C,9))</f>
        <v>0</v>
      </c>
      <c r="D7">
        <f>IF(ISBLANK(INDEX('Milestone Tracker – IHP'!$D:$D,9)),D6,INDEX('Milestone Tracker – IHP'!$D:$D,9))</f>
        <v>0</v>
      </c>
      <c r="E7" t="str">
        <f>IF(ISBLANK(INDEX('Milestone Tracker – IHP'!$E:$E,9)),"",INDEX('Milestone Tracker – IHP'!$E:$E,9))</f>
        <v/>
      </c>
      <c r="F7" t="str">
        <f>IF(ISBLANK(INDEX('Milestone Tracker – IHP'!$F:$F,9)),"",INDEX('Milestone Tracker – IHP'!$F:$F,9))</f>
        <v/>
      </c>
      <c r="G7" s="18" t="e">
        <f>IF(ISBLANK(INDEX('Milestone Tracker – IHP'!#REF!,9)),"",INDEX('Milestone Tracker – IHP'!#REF!,9))</f>
        <v>#REF!</v>
      </c>
      <c r="H7" s="19" t="str">
        <f>IF(ISBLANK(INDEX('Milestone Tracker – IHP'!$G:$G,9)),"",INDEX('Milestone Tracker – IHP'!$G:$G,9))</f>
        <v/>
      </c>
      <c r="I7" t="str">
        <f>IF(ISBLANK(INDEX('Milestone Tracker – IHP'!$H:$H,9)),"",INDEX('Milestone Tracker – IHP'!$H:$H,9))</f>
        <v/>
      </c>
      <c r="J7" t="e">
        <f>IF(ISBLANK(INDEX('Milestone Tracker – IHP'!#REF!,9)),"",INDEX('Milestone Tracker – IHP'!#REF!,9))</f>
        <v>#REF!</v>
      </c>
      <c r="K7">
        <f t="shared" si="0"/>
        <v>0</v>
      </c>
      <c r="L7">
        <f t="shared" si="1"/>
        <v>0</v>
      </c>
    </row>
    <row r="8" spans="1:12" x14ac:dyDescent="0.35">
      <c r="A8">
        <v>10</v>
      </c>
      <c r="B8">
        <f>IF(ISBLANK(INDEX('Milestone Tracker – IHP'!$B:$B,10)),B7,INDEX('Milestone Tracker – IHP'!$B:$B,10))</f>
        <v>0</v>
      </c>
      <c r="C8">
        <f>IF(ISBLANK(INDEX('Milestone Tracker – IHP'!$C:$C,10)),C7,INDEX('Milestone Tracker – IHP'!$C:$C,10))</f>
        <v>0</v>
      </c>
      <c r="D8">
        <f>IF(ISBLANK(INDEX('Milestone Tracker – IHP'!$D:$D,10)),D7,INDEX('Milestone Tracker – IHP'!$D:$D,10))</f>
        <v>0</v>
      </c>
      <c r="E8" t="str">
        <f>IF(ISBLANK(INDEX('Milestone Tracker – IHP'!$E:$E,10)),"",INDEX('Milestone Tracker – IHP'!$E:$E,10))</f>
        <v/>
      </c>
      <c r="F8" t="str">
        <f>IF(ISBLANK(INDEX('Milestone Tracker – IHP'!$F:$F,10)),"",INDEX('Milestone Tracker – IHP'!$F:$F,10))</f>
        <v/>
      </c>
      <c r="G8" s="18" t="e">
        <f>IF(ISBLANK(INDEX('Milestone Tracker – IHP'!#REF!,10)),"",INDEX('Milestone Tracker – IHP'!#REF!,10))</f>
        <v>#REF!</v>
      </c>
      <c r="H8" s="19" t="str">
        <f>IF(ISBLANK(INDEX('Milestone Tracker – IHP'!$G:$G,10)),"",INDEX('Milestone Tracker – IHP'!$G:$G,10))</f>
        <v/>
      </c>
      <c r="I8" t="str">
        <f>IF(ISBLANK(INDEX('Milestone Tracker – IHP'!$H:$H,10)),"",INDEX('Milestone Tracker – IHP'!$H:$H,10))</f>
        <v/>
      </c>
      <c r="J8" t="e">
        <f>IF(ISBLANK(INDEX('Milestone Tracker – IHP'!#REF!,10)),"",INDEX('Milestone Tracker – IHP'!#REF!,10))</f>
        <v>#REF!</v>
      </c>
      <c r="K8">
        <f t="shared" si="0"/>
        <v>0</v>
      </c>
      <c r="L8">
        <f t="shared" si="1"/>
        <v>0</v>
      </c>
    </row>
    <row r="9" spans="1:12" x14ac:dyDescent="0.35">
      <c r="A9">
        <v>11</v>
      </c>
      <c r="B9">
        <f>IF(ISBLANK(INDEX('Milestone Tracker – IHP'!$B:$B,11)),B8,INDEX('Milestone Tracker – IHP'!$B:$B,11))</f>
        <v>0</v>
      </c>
      <c r="C9">
        <f>IF(ISBLANK(INDEX('Milestone Tracker – IHP'!$C:$C,11)),C8,INDEX('Milestone Tracker – IHP'!$C:$C,11))</f>
        <v>0</v>
      </c>
      <c r="D9">
        <f>IF(ISBLANK(INDEX('Milestone Tracker – IHP'!$D:$D,11)),D8,INDEX('Milestone Tracker – IHP'!$D:$D,11))</f>
        <v>0</v>
      </c>
      <c r="E9" t="str">
        <f>IF(ISBLANK(INDEX('Milestone Tracker – IHP'!$E:$E,11)),"",INDEX('Milestone Tracker – IHP'!$E:$E,11))</f>
        <v/>
      </c>
      <c r="F9" t="str">
        <f>IF(ISBLANK(INDEX('Milestone Tracker – IHP'!$F:$F,11)),"",INDEX('Milestone Tracker – IHP'!$F:$F,11))</f>
        <v/>
      </c>
      <c r="G9" s="18" t="e">
        <f>IF(ISBLANK(INDEX('Milestone Tracker – IHP'!#REF!,11)),"",INDEX('Milestone Tracker – IHP'!#REF!,11))</f>
        <v>#REF!</v>
      </c>
      <c r="H9" t="str">
        <f>IF(ISBLANK(INDEX('Milestone Tracker – IHP'!$G:$G,11)),"",INDEX('Milestone Tracker – IHP'!$G:$G,11))</f>
        <v/>
      </c>
      <c r="I9" t="str">
        <f>IF(ISBLANK(INDEX('Milestone Tracker – IHP'!$H:$H,11)),"",INDEX('Milestone Tracker – IHP'!$H:$H,11))</f>
        <v/>
      </c>
      <c r="J9" t="e">
        <f>IF(ISBLANK(INDEX('Milestone Tracker – IHP'!#REF!,11)),"",INDEX('Milestone Tracker – IHP'!#REF!,11))</f>
        <v>#REF!</v>
      </c>
      <c r="K9">
        <f t="shared" si="0"/>
        <v>0</v>
      </c>
      <c r="L9">
        <f t="shared" si="1"/>
        <v>0</v>
      </c>
    </row>
    <row r="10" spans="1:12" x14ac:dyDescent="0.35">
      <c r="A10">
        <v>12</v>
      </c>
      <c r="B10">
        <f>IF(ISBLANK(INDEX('Milestone Tracker – IHP'!$B:$B,12)),B9,INDEX('Milestone Tracker – IHP'!$B:$B,12))</f>
        <v>0</v>
      </c>
      <c r="C10">
        <f>IF(ISBLANK(INDEX('Milestone Tracker – IHP'!$C:$C,12)),C9,INDEX('Milestone Tracker – IHP'!$C:$C,12))</f>
        <v>0</v>
      </c>
      <c r="D10">
        <f>IF(ISBLANK(INDEX('Milestone Tracker – IHP'!$D:$D,12)),D9,INDEX('Milestone Tracker – IHP'!$D:$D,12))</f>
        <v>0</v>
      </c>
      <c r="E10" t="str">
        <f>IF(ISBLANK(INDEX('Milestone Tracker – IHP'!$E:$E,12)),"",INDEX('Milestone Tracker – IHP'!$E:$E,12))</f>
        <v/>
      </c>
      <c r="F10" t="str">
        <f>IF(ISBLANK(INDEX('Milestone Tracker – IHP'!$F:$F,12)),"",INDEX('Milestone Tracker – IHP'!$F:$F,12))</f>
        <v/>
      </c>
      <c r="G10" s="18" t="e">
        <f>IF(ISBLANK(INDEX('Milestone Tracker – IHP'!#REF!,12)),"",INDEX('Milestone Tracker – IHP'!#REF!,12))</f>
        <v>#REF!</v>
      </c>
      <c r="H10" t="str">
        <f>IF(ISBLANK(INDEX('Milestone Tracker – IHP'!$G:$G,12)),"",INDEX('Milestone Tracker – IHP'!$G:$G,12))</f>
        <v/>
      </c>
      <c r="I10" t="str">
        <f>IF(ISBLANK(INDEX('Milestone Tracker – IHP'!$H:$H,12)),"",INDEX('Milestone Tracker – IHP'!$H:$H,12))</f>
        <v/>
      </c>
      <c r="J10" s="18" t="e">
        <f>IF(ISBLANK(INDEX('Milestone Tracker – IHP'!#REF!,12)),"",INDEX('Milestone Tracker – IHP'!#REF!,12))</f>
        <v>#REF!</v>
      </c>
      <c r="K10">
        <f t="shared" si="0"/>
        <v>0</v>
      </c>
      <c r="L10">
        <f t="shared" si="1"/>
        <v>0</v>
      </c>
    </row>
    <row r="11" spans="1:12" x14ac:dyDescent="0.35">
      <c r="A11">
        <v>13</v>
      </c>
      <c r="B11">
        <f>IF(ISBLANK(INDEX('Milestone Tracker – IHP'!$B:$B,13)),B10,INDEX('Milestone Tracker – IHP'!$B:$B,13))</f>
        <v>0</v>
      </c>
      <c r="C11">
        <f>IF(ISBLANK(INDEX('Milestone Tracker – IHP'!$C:$C,13)),C10,INDEX('Milestone Tracker – IHP'!$C:$C,13))</f>
        <v>0</v>
      </c>
      <c r="D11">
        <f>IF(ISBLANK(INDEX('Milestone Tracker – IHP'!$D:$D,13)),D10,INDEX('Milestone Tracker – IHP'!$D:$D,13))</f>
        <v>0</v>
      </c>
      <c r="E11" t="str">
        <f>IF(ISBLANK(INDEX('Milestone Tracker – IHP'!$E:$E,13)),"",INDEX('Milestone Tracker – IHP'!$E:$E,13))</f>
        <v/>
      </c>
      <c r="F11" t="str">
        <f>IF(ISBLANK(INDEX('Milestone Tracker – IHP'!$F:$F,13)),"",INDEX('Milestone Tracker – IHP'!$F:$F,13))</f>
        <v/>
      </c>
      <c r="G11" s="18" t="e">
        <f>IF(ISBLANK(INDEX('Milestone Tracker – IHP'!#REF!,13)),"",INDEX('Milestone Tracker – IHP'!#REF!,13))</f>
        <v>#REF!</v>
      </c>
      <c r="H11" s="19" t="str">
        <f>IF(ISBLANK(INDEX('Milestone Tracker – IHP'!$G:$G,13)),"",INDEX('Milestone Tracker – IHP'!$G:$G,13))</f>
        <v/>
      </c>
      <c r="I11" s="19" t="str">
        <f>IF(ISBLANK(INDEX('Milestone Tracker – IHP'!$H:$H,13)),"",INDEX('Milestone Tracker – IHP'!$H:$H,13))</f>
        <v/>
      </c>
      <c r="J11" s="19" t="e">
        <f>IF(ISBLANK(INDEX('Milestone Tracker – IHP'!#REF!,13)),"",INDEX('Milestone Tracker – IHP'!#REF!,13))</f>
        <v>#REF!</v>
      </c>
      <c r="K11">
        <f t="shared" si="0"/>
        <v>0</v>
      </c>
      <c r="L11">
        <f t="shared" si="1"/>
        <v>0</v>
      </c>
    </row>
    <row r="12" spans="1:12" x14ac:dyDescent="0.35">
      <c r="A12">
        <v>14</v>
      </c>
      <c r="B12">
        <f>IF(ISBLANK(INDEX('Milestone Tracker – IHP'!$B:$B,14)),B11,INDEX('Milestone Tracker – IHP'!$B:$B,14))</f>
        <v>0</v>
      </c>
      <c r="C12">
        <f>IF(ISBLANK(INDEX('Milestone Tracker – IHP'!$C:$C,14)),C11,INDEX('Milestone Tracker – IHP'!$C:$C,14))</f>
        <v>0</v>
      </c>
      <c r="D12">
        <f>IF(ISBLANK(INDEX('Milestone Tracker – IHP'!$D:$D,14)),D11,INDEX('Milestone Tracker – IHP'!$D:$D,14))</f>
        <v>0</v>
      </c>
      <c r="E12" t="str">
        <f>IF(ISBLANK(INDEX('Milestone Tracker – IHP'!$E:$E,14)),"",INDEX('Milestone Tracker – IHP'!$E:$E,14))</f>
        <v/>
      </c>
      <c r="F12" t="str">
        <f>IF(ISBLANK(INDEX('Milestone Tracker – IHP'!$F:$F,14)),"",INDEX('Milestone Tracker – IHP'!$F:$F,14))</f>
        <v/>
      </c>
      <c r="G12" s="18" t="e">
        <f>IF(ISBLANK(INDEX('Milestone Tracker – IHP'!#REF!,14)),"",INDEX('Milestone Tracker – IHP'!#REF!,14))</f>
        <v>#REF!</v>
      </c>
      <c r="H12" s="19" t="str">
        <f>IF(ISBLANK(INDEX('Milestone Tracker – IHP'!$G:$G,14)),"",INDEX('Milestone Tracker – IHP'!$G:$G,14))</f>
        <v/>
      </c>
      <c r="I12" s="19" t="str">
        <f>IF(ISBLANK(INDEX('Milestone Tracker – IHP'!$H:$H,14)),"",INDEX('Milestone Tracker – IHP'!$H:$H,14))</f>
        <v/>
      </c>
      <c r="J12" s="19" t="e">
        <f>IF(ISBLANK(INDEX('Milestone Tracker – IHP'!#REF!,14)),"",INDEX('Milestone Tracker – IHP'!#REF!,14))</f>
        <v>#REF!</v>
      </c>
      <c r="K12">
        <f t="shared" si="0"/>
        <v>0</v>
      </c>
      <c r="L12">
        <f t="shared" si="1"/>
        <v>0</v>
      </c>
    </row>
    <row r="13" spans="1:12" x14ac:dyDescent="0.35">
      <c r="A13">
        <v>15</v>
      </c>
      <c r="B13">
        <f>IF(ISBLANK(INDEX('Milestone Tracker – IHP'!$B:$B,15)),B12,INDEX('Milestone Tracker – IHP'!$B:$B,15))</f>
        <v>0</v>
      </c>
      <c r="C13">
        <f>IF(ISBLANK(INDEX('Milestone Tracker – IHP'!$C:$C,15)),C12,INDEX('Milestone Tracker – IHP'!$C:$C,15))</f>
        <v>0</v>
      </c>
      <c r="D13">
        <f>IF(ISBLANK(INDEX('Milestone Tracker – IHP'!$D:$D,15)),D12,INDEX('Milestone Tracker – IHP'!$D:$D,15))</f>
        <v>0</v>
      </c>
      <c r="E13" t="str">
        <f>IF(ISBLANK(INDEX('Milestone Tracker – IHP'!$E:$E,15)),"",INDEX('Milestone Tracker – IHP'!$E:$E,15))</f>
        <v/>
      </c>
      <c r="F13" t="str">
        <f>IF(ISBLANK(INDEX('Milestone Tracker – IHP'!$F:$F,15)),"",INDEX('Milestone Tracker – IHP'!$F:$F,15))</f>
        <v/>
      </c>
      <c r="G13" s="18" t="e">
        <f>IF(ISBLANK(INDEX('Milestone Tracker – IHP'!#REF!,15)),"",INDEX('Milestone Tracker – IHP'!#REF!,15))</f>
        <v>#REF!</v>
      </c>
      <c r="H13" s="19" t="str">
        <f>IF(ISBLANK(INDEX('Milestone Tracker – IHP'!$G:$G,15)),"",INDEX('Milestone Tracker – IHP'!$G:$G,15))</f>
        <v/>
      </c>
      <c r="I13" s="19" t="str">
        <f>IF(ISBLANK(INDEX('Milestone Tracker – IHP'!$H:$H,15)),"",INDEX('Milestone Tracker – IHP'!$H:$H,15))</f>
        <v/>
      </c>
      <c r="J13" s="19" t="e">
        <f>IF(ISBLANK(INDEX('Milestone Tracker – IHP'!#REF!,15)),"",INDEX('Milestone Tracker – IHP'!#REF!,15))</f>
        <v>#REF!</v>
      </c>
      <c r="K13">
        <f t="shared" si="0"/>
        <v>0</v>
      </c>
      <c r="L13">
        <f t="shared" si="1"/>
        <v>0</v>
      </c>
    </row>
    <row r="14" spans="1:12" x14ac:dyDescent="0.35">
      <c r="A14">
        <v>16</v>
      </c>
      <c r="B14">
        <f>IF(ISBLANK(INDEX('Milestone Tracker – IHP'!$B:$B,16)),B13,INDEX('Milestone Tracker – IHP'!$B:$B,16))</f>
        <v>0</v>
      </c>
      <c r="C14">
        <f>IF(ISBLANK(INDEX('Milestone Tracker – IHP'!$C:$C,16)),C13,INDEX('Milestone Tracker – IHP'!$C:$C,16))</f>
        <v>0</v>
      </c>
      <c r="D14">
        <f>IF(ISBLANK(INDEX('Milestone Tracker – IHP'!$D:$D,16)),D13,INDEX('Milestone Tracker – IHP'!$D:$D,16))</f>
        <v>0</v>
      </c>
      <c r="E14" t="str">
        <f>IF(ISBLANK(INDEX('Milestone Tracker – IHP'!$E:$E,16)),"",INDEX('Milestone Tracker – IHP'!$E:$E,16))</f>
        <v/>
      </c>
      <c r="F14" t="str">
        <f>IF(ISBLANK(INDEX('Milestone Tracker – IHP'!$F:$F,16)),"",INDEX('Milestone Tracker – IHP'!$F:$F,16))</f>
        <v/>
      </c>
      <c r="G14" s="18" t="e">
        <f>IF(ISBLANK(INDEX('Milestone Tracker – IHP'!#REF!,16)),"",INDEX('Milestone Tracker – IHP'!#REF!,16))</f>
        <v>#REF!</v>
      </c>
      <c r="H14" s="19" t="str">
        <f>IF(ISBLANK(INDEX('Milestone Tracker – IHP'!$G:$G,16)),"",INDEX('Milestone Tracker – IHP'!$G:$G,16))</f>
        <v/>
      </c>
      <c r="I14" s="19" t="str">
        <f>IF(ISBLANK(INDEX('Milestone Tracker – IHP'!$H:$H,16)),"",INDEX('Milestone Tracker – IHP'!$H:$H,16))</f>
        <v/>
      </c>
      <c r="J14" s="19" t="e">
        <f>IF(ISBLANK(INDEX('Milestone Tracker – IHP'!#REF!,16)),"",INDEX('Milestone Tracker – IHP'!#REF!,16))</f>
        <v>#REF!</v>
      </c>
      <c r="K14">
        <f t="shared" si="0"/>
        <v>0</v>
      </c>
      <c r="L14">
        <f t="shared" si="1"/>
        <v>0</v>
      </c>
    </row>
    <row r="15" spans="1:12" x14ac:dyDescent="0.35">
      <c r="A15">
        <v>17</v>
      </c>
      <c r="B15">
        <f>IF(ISBLANK(INDEX('Milestone Tracker – IHP'!$B:$B,17)),B14,INDEX('Milestone Tracker – IHP'!$B:$B,17))</f>
        <v>0</v>
      </c>
      <c r="C15">
        <f>IF(ISBLANK(INDEX('Milestone Tracker – IHP'!$C:$C,17)),C14,INDEX('Milestone Tracker – IHP'!$C:$C,17))</f>
        <v>0</v>
      </c>
      <c r="D15">
        <f>IF(ISBLANK(INDEX('Milestone Tracker – IHP'!$D:$D,17)),D14,INDEX('Milestone Tracker – IHP'!$D:$D,17))</f>
        <v>0</v>
      </c>
      <c r="E15" t="str">
        <f>IF(ISBLANK(INDEX('Milestone Tracker – IHP'!$E:$E,17)),"",INDEX('Milestone Tracker – IHP'!$E:$E,17))</f>
        <v/>
      </c>
      <c r="F15" t="str">
        <f>IF(ISBLANK(INDEX('Milestone Tracker – IHP'!$F:$F,17)),"",INDEX('Milestone Tracker – IHP'!$F:$F,17))</f>
        <v/>
      </c>
      <c r="G15" s="18" t="e">
        <f>IF(ISBLANK(INDEX('Milestone Tracker – IHP'!#REF!,17)),"",INDEX('Milestone Tracker – IHP'!#REF!,17))</f>
        <v>#REF!</v>
      </c>
      <c r="H15" s="19" t="str">
        <f>IF(ISBLANK(INDEX('Milestone Tracker – IHP'!$G:$G,17)),"",INDEX('Milestone Tracker – IHP'!$G:$G,17))</f>
        <v/>
      </c>
      <c r="I15" s="19" t="str">
        <f>IF(ISBLANK(INDEX('Milestone Tracker – IHP'!$H:$H,17)),"",INDEX('Milestone Tracker – IHP'!$H:$H,17))</f>
        <v/>
      </c>
      <c r="J15" s="19" t="e">
        <f>IF(ISBLANK(INDEX('Milestone Tracker – IHP'!#REF!,17)),"",INDEX('Milestone Tracker – IHP'!#REF!,17))</f>
        <v>#REF!</v>
      </c>
      <c r="K15">
        <f t="shared" si="0"/>
        <v>0</v>
      </c>
      <c r="L15">
        <f t="shared" si="1"/>
        <v>0</v>
      </c>
    </row>
    <row r="16" spans="1:12" x14ac:dyDescent="0.35">
      <c r="A16">
        <v>18</v>
      </c>
      <c r="B16">
        <f>IF(ISBLANK(INDEX('Milestone Tracker – IHP'!$B:$B,18)),B15,INDEX('Milestone Tracker – IHP'!$B:$B,18))</f>
        <v>0</v>
      </c>
      <c r="C16">
        <f>IF(ISBLANK(INDEX('Milestone Tracker – IHP'!$C:$C,18)),C15,INDEX('Milestone Tracker – IHP'!$C:$C,18))</f>
        <v>0</v>
      </c>
      <c r="D16">
        <f>IF(ISBLANK(INDEX('Milestone Tracker – IHP'!$D:$D,18)),D15,INDEX('Milestone Tracker – IHP'!$D:$D,18))</f>
        <v>0</v>
      </c>
      <c r="E16" t="str">
        <f>IF(ISBLANK(INDEX('Milestone Tracker – IHP'!$E:$E,18)),"",INDEX('Milestone Tracker – IHP'!$E:$E,18))</f>
        <v/>
      </c>
      <c r="F16" t="str">
        <f>IF(ISBLANK(INDEX('Milestone Tracker – IHP'!$F:$F,18)),"",INDEX('Milestone Tracker – IHP'!$F:$F,18))</f>
        <v/>
      </c>
      <c r="G16" s="18" t="e">
        <f>IF(ISBLANK(INDEX('Milestone Tracker – IHP'!#REF!,18)),"",INDEX('Milestone Tracker – IHP'!#REF!,18))</f>
        <v>#REF!</v>
      </c>
      <c r="H16" s="19" t="str">
        <f>IF(ISBLANK(INDEX('Milestone Tracker – IHP'!$G:$G,18)),"",INDEX('Milestone Tracker – IHP'!$G:$G,18))</f>
        <v/>
      </c>
      <c r="I16" s="19" t="str">
        <f>IF(ISBLANK(INDEX('Milestone Tracker – IHP'!$H:$H,18)),"",INDEX('Milestone Tracker – IHP'!$H:$H,18))</f>
        <v/>
      </c>
      <c r="J16" s="19" t="e">
        <f>IF(ISBLANK(INDEX('Milestone Tracker – IHP'!#REF!,18)),"",INDEX('Milestone Tracker – IHP'!#REF!,18))</f>
        <v>#REF!</v>
      </c>
      <c r="K16">
        <f t="shared" si="0"/>
        <v>0</v>
      </c>
      <c r="L16">
        <f t="shared" si="1"/>
        <v>0</v>
      </c>
    </row>
    <row r="17" spans="1:12" x14ac:dyDescent="0.35">
      <c r="A17">
        <v>19</v>
      </c>
      <c r="B17">
        <f>IF(ISBLANK(INDEX('Milestone Tracker – IHP'!$B:$B,19)),B16,INDEX('Milestone Tracker – IHP'!$B:$B,19))</f>
        <v>0</v>
      </c>
      <c r="C17">
        <f>IF(ISBLANK(INDEX('Milestone Tracker – IHP'!$C:$C,19)),C16,INDEX('Milestone Tracker – IHP'!$C:$C,19))</f>
        <v>0</v>
      </c>
      <c r="D17">
        <f>IF(ISBLANK(INDEX('Milestone Tracker – IHP'!$D:$D,19)),D16,INDEX('Milestone Tracker – IHP'!$D:$D,19))</f>
        <v>0</v>
      </c>
      <c r="E17" t="str">
        <f>IF(ISBLANK(INDEX('Milestone Tracker – IHP'!$E:$E,19)),"",INDEX('Milestone Tracker – IHP'!$E:$E,19))</f>
        <v/>
      </c>
      <c r="F17" t="str">
        <f>IF(ISBLANK(INDEX('Milestone Tracker – IHP'!$F:$F,19)),"",INDEX('Milestone Tracker – IHP'!$F:$F,19))</f>
        <v/>
      </c>
      <c r="G17" s="18" t="e">
        <f>IF(ISBLANK(INDEX('Milestone Tracker – IHP'!#REF!,19)),"",INDEX('Milestone Tracker – IHP'!#REF!,19))</f>
        <v>#REF!</v>
      </c>
      <c r="H17" s="19" t="str">
        <f>IF(ISBLANK(INDEX('Milestone Tracker – IHP'!$G:$G,19)),"",INDEX('Milestone Tracker – IHP'!$G:$G,19))</f>
        <v/>
      </c>
      <c r="I17" s="19" t="str">
        <f>IF(ISBLANK(INDEX('Milestone Tracker – IHP'!$H:$H,19)),"",INDEX('Milestone Tracker – IHP'!$H:$H,19))</f>
        <v/>
      </c>
      <c r="J17" s="19" t="e">
        <f>IF(ISBLANK(INDEX('Milestone Tracker – IHP'!#REF!,19)),"",INDEX('Milestone Tracker – IHP'!#REF!,19))</f>
        <v>#REF!</v>
      </c>
      <c r="K17">
        <f t="shared" si="0"/>
        <v>0</v>
      </c>
      <c r="L17">
        <f t="shared" si="1"/>
        <v>0</v>
      </c>
    </row>
    <row r="18" spans="1:12" x14ac:dyDescent="0.35">
      <c r="A18">
        <v>20</v>
      </c>
      <c r="B18">
        <f>IF(ISBLANK(INDEX('Milestone Tracker – IHP'!$B:$B,20)),B17,INDEX('Milestone Tracker – IHP'!$B:$B,20))</f>
        <v>0</v>
      </c>
      <c r="C18">
        <f>IF(ISBLANK(INDEX('Milestone Tracker – IHP'!$C:$C,20)),C17,INDEX('Milestone Tracker – IHP'!$C:$C,20))</f>
        <v>0</v>
      </c>
      <c r="D18">
        <f>IF(ISBLANK(INDEX('Milestone Tracker – IHP'!$D:$D,20)),D17,INDEX('Milestone Tracker – IHP'!$D:$D,20))</f>
        <v>0</v>
      </c>
      <c r="E18" t="str">
        <f>IF(ISBLANK(INDEX('Milestone Tracker – IHP'!$E:$E,20)),"",INDEX('Milestone Tracker – IHP'!$E:$E,20))</f>
        <v/>
      </c>
      <c r="F18" t="str">
        <f>IF(ISBLANK(INDEX('Milestone Tracker – IHP'!$F:$F,20)),"",INDEX('Milestone Tracker – IHP'!$F:$F,20))</f>
        <v/>
      </c>
      <c r="G18" s="18" t="e">
        <f>IF(ISBLANK(INDEX('Milestone Tracker – IHP'!#REF!,20)),"",INDEX('Milestone Tracker – IHP'!#REF!,20))</f>
        <v>#REF!</v>
      </c>
      <c r="H18" t="str">
        <f>IF(ISBLANK(INDEX('Milestone Tracker – IHP'!$G:$G,20)),"",INDEX('Milestone Tracker – IHP'!$G:$G,20))</f>
        <v/>
      </c>
      <c r="I18" t="str">
        <f>IF(ISBLANK(INDEX('Milestone Tracker – IHP'!$H:$H,20)),"",INDEX('Milestone Tracker – IHP'!$H:$H,20))</f>
        <v/>
      </c>
      <c r="J18" t="e">
        <f>IF(ISBLANK(INDEX('Milestone Tracker – IHP'!#REF!,20)),"",INDEX('Milestone Tracker – IHP'!#REF!,20))</f>
        <v>#REF!</v>
      </c>
      <c r="K18">
        <f t="shared" si="0"/>
        <v>0</v>
      </c>
      <c r="L18">
        <f t="shared" si="1"/>
        <v>0</v>
      </c>
    </row>
    <row r="19" spans="1:12" x14ac:dyDescent="0.35">
      <c r="A19">
        <v>21</v>
      </c>
      <c r="B19">
        <f>IF(ISBLANK(INDEX('Milestone Tracker – IHP'!$B:$B,21)),B18,INDEX('Milestone Tracker – IHP'!$B:$B,21))</f>
        <v>0</v>
      </c>
      <c r="C19">
        <f>IF(ISBLANK(INDEX('Milestone Tracker – IHP'!$C:$C,21)),C18,INDEX('Milestone Tracker – IHP'!$C:$C,21))</f>
        <v>0</v>
      </c>
      <c r="D19">
        <f>IF(ISBLANK(INDEX('Milestone Tracker – IHP'!$D:$D,21)),D18,INDEX('Milestone Tracker – IHP'!$D:$D,21))</f>
        <v>0</v>
      </c>
      <c r="E19" t="str">
        <f>IF(ISBLANK(INDEX('Milestone Tracker – IHP'!$E:$E,21)),"",INDEX('Milestone Tracker – IHP'!$E:$E,21))</f>
        <v/>
      </c>
      <c r="F19" t="str">
        <f>IF(ISBLANK(INDEX('Milestone Tracker – IHP'!$F:$F,21)),"",INDEX('Milestone Tracker – IHP'!$F:$F,21))</f>
        <v/>
      </c>
      <c r="G19" s="18" t="e">
        <f>IF(ISBLANK(INDEX('Milestone Tracker – IHP'!#REF!,21)),"",INDEX('Milestone Tracker – IHP'!#REF!,21))</f>
        <v>#REF!</v>
      </c>
      <c r="H19" t="str">
        <f>IF(ISBLANK(INDEX('Milestone Tracker – IHP'!$G:$G,21)),"",INDEX('Milestone Tracker – IHP'!$G:$G,21))</f>
        <v/>
      </c>
      <c r="I19" t="str">
        <f>IF(ISBLANK(INDEX('Milestone Tracker – IHP'!$H:$H,21)),"",INDEX('Milestone Tracker – IHP'!$H:$H,21))</f>
        <v/>
      </c>
      <c r="J19" s="18" t="e">
        <f>IF(ISBLANK(INDEX('Milestone Tracker – IHP'!#REF!,21)),"",INDEX('Milestone Tracker – IHP'!#REF!,21))</f>
        <v>#REF!</v>
      </c>
      <c r="K19">
        <f t="shared" si="0"/>
        <v>0</v>
      </c>
      <c r="L19">
        <f t="shared" si="1"/>
        <v>0</v>
      </c>
    </row>
    <row r="20" spans="1:12" x14ac:dyDescent="0.35">
      <c r="A20">
        <v>22</v>
      </c>
      <c r="B20">
        <f>IF(ISBLANK(INDEX('Milestone Tracker – IHP'!$B:$B,22)),B19,INDEX('Milestone Tracker – IHP'!$B:$B,22))</f>
        <v>0</v>
      </c>
      <c r="C20">
        <f>IF(ISBLANK(INDEX('Milestone Tracker – IHP'!$C:$C,22)),C19,INDEX('Milestone Tracker – IHP'!$C:$C,22))</f>
        <v>0</v>
      </c>
      <c r="D20">
        <f>IF(ISBLANK(INDEX('Milestone Tracker – IHP'!$D:$D,22)),D19,INDEX('Milestone Tracker – IHP'!$D:$D,22))</f>
        <v>0</v>
      </c>
      <c r="E20" t="str">
        <f>IF(ISBLANK(INDEX('Milestone Tracker – IHP'!$E:$E,22)),"",INDEX('Milestone Tracker – IHP'!$E:$E,22))</f>
        <v/>
      </c>
      <c r="F20" t="str">
        <f>IF(ISBLANK(INDEX('Milestone Tracker – IHP'!$F:$F,22)),"",INDEX('Milestone Tracker – IHP'!$F:$F,22))</f>
        <v/>
      </c>
      <c r="G20" s="18" t="e">
        <f>IF(ISBLANK(INDEX('Milestone Tracker – IHP'!#REF!,22)),"",INDEX('Milestone Tracker – IHP'!#REF!,22))</f>
        <v>#REF!</v>
      </c>
      <c r="H20" s="19" t="str">
        <f>IF(ISBLANK(INDEX('Milestone Tracker – IHP'!$G:$G,22)),"",INDEX('Milestone Tracker – IHP'!$G:$G,22))</f>
        <v/>
      </c>
      <c r="I20" s="19" t="str">
        <f>IF(ISBLANK(INDEX('Milestone Tracker – IHP'!$H:$H,22)),"",INDEX('Milestone Tracker – IHP'!$H:$H,22))</f>
        <v/>
      </c>
      <c r="J20" s="19" t="e">
        <f>IF(ISBLANK(INDEX('Milestone Tracker – IHP'!#REF!,22)),"",INDEX('Milestone Tracker – IHP'!#REF!,22))</f>
        <v>#REF!</v>
      </c>
      <c r="K20">
        <f t="shared" si="0"/>
        <v>0</v>
      </c>
      <c r="L20">
        <f t="shared" si="1"/>
        <v>0</v>
      </c>
    </row>
    <row r="21" spans="1:12" x14ac:dyDescent="0.35">
      <c r="A21">
        <v>23</v>
      </c>
      <c r="B21">
        <f>IF(ISBLANK(INDEX('Milestone Tracker – IHP'!$B:$B,23)),B20,INDEX('Milestone Tracker – IHP'!$B:$B,23))</f>
        <v>0</v>
      </c>
      <c r="C21">
        <f>IF(ISBLANK(INDEX('Milestone Tracker – IHP'!$C:$C,23)),C20,INDEX('Milestone Tracker – IHP'!$C:$C,23))</f>
        <v>0</v>
      </c>
      <c r="D21">
        <f>IF(ISBLANK(INDEX('Milestone Tracker – IHP'!$D:$D,23)),D20,INDEX('Milestone Tracker – IHP'!$D:$D,23))</f>
        <v>0</v>
      </c>
      <c r="E21" t="str">
        <f>IF(ISBLANK(INDEX('Milestone Tracker – IHP'!$E:$E,23)),"",INDEX('Milestone Tracker – IHP'!$E:$E,23))</f>
        <v/>
      </c>
      <c r="F21" t="str">
        <f>IF(ISBLANK(INDEX('Milestone Tracker – IHP'!$F:$F,23)),"",INDEX('Milestone Tracker – IHP'!$F:$F,23))</f>
        <v/>
      </c>
      <c r="G21" s="18" t="e">
        <f>IF(ISBLANK(INDEX('Milestone Tracker – IHP'!#REF!,23)),"",INDEX('Milestone Tracker – IHP'!#REF!,23))</f>
        <v>#REF!</v>
      </c>
      <c r="H21" s="19" t="str">
        <f>IF(ISBLANK(INDEX('Milestone Tracker – IHP'!$G:$G,23)),"",INDEX('Milestone Tracker – IHP'!$G:$G,23))</f>
        <v/>
      </c>
      <c r="I21" s="19" t="str">
        <f>IF(ISBLANK(INDEX('Milestone Tracker – IHP'!$H:$H,23)),"",INDEX('Milestone Tracker – IHP'!$H:$H,23))</f>
        <v/>
      </c>
      <c r="J21" s="19" t="e">
        <f>IF(ISBLANK(INDEX('Milestone Tracker – IHP'!#REF!,23)),"",INDEX('Milestone Tracker – IHP'!#REF!,23))</f>
        <v>#REF!</v>
      </c>
      <c r="K21">
        <f t="shared" si="0"/>
        <v>0</v>
      </c>
      <c r="L21">
        <f t="shared" si="1"/>
        <v>0</v>
      </c>
    </row>
    <row r="22" spans="1:12" x14ac:dyDescent="0.35">
      <c r="A22">
        <v>24</v>
      </c>
      <c r="B22">
        <f>IF(ISBLANK(INDEX('Milestone Tracker – IHP'!$B:$B,24)),B21,INDEX('Milestone Tracker – IHP'!$B:$B,24))</f>
        <v>0</v>
      </c>
      <c r="C22">
        <f>IF(ISBLANK(INDEX('Milestone Tracker – IHP'!$C:$C,24)),C21,INDEX('Milestone Tracker – IHP'!$C:$C,24))</f>
        <v>0</v>
      </c>
      <c r="D22">
        <f>IF(ISBLANK(INDEX('Milestone Tracker – IHP'!$D:$D,24)),D21,INDEX('Milestone Tracker – IHP'!$D:$D,24))</f>
        <v>0</v>
      </c>
      <c r="E22" t="str">
        <f>IF(ISBLANK(INDEX('Milestone Tracker – IHP'!$E:$E,24)),"",INDEX('Milestone Tracker – IHP'!$E:$E,24))</f>
        <v/>
      </c>
      <c r="F22" t="str">
        <f>IF(ISBLANK(INDEX('Milestone Tracker – IHP'!$F:$F,24)),"",INDEX('Milestone Tracker – IHP'!$F:$F,24))</f>
        <v/>
      </c>
      <c r="G22" s="18" t="e">
        <f>IF(ISBLANK(INDEX('Milestone Tracker – IHP'!#REF!,24)),"",INDEX('Milestone Tracker – IHP'!#REF!,24))</f>
        <v>#REF!</v>
      </c>
      <c r="H22" s="19" t="str">
        <f>IF(ISBLANK(INDEX('Milestone Tracker – IHP'!$G:$G,24)),"",INDEX('Milestone Tracker – IHP'!$G:$G,24))</f>
        <v/>
      </c>
      <c r="I22" s="19" t="str">
        <f>IF(ISBLANK(INDEX('Milestone Tracker – IHP'!$H:$H,24)),"",INDEX('Milestone Tracker – IHP'!$H:$H,24))</f>
        <v/>
      </c>
      <c r="J22" s="19" t="e">
        <f>IF(ISBLANK(INDEX('Milestone Tracker – IHP'!#REF!,24)),"",INDEX('Milestone Tracker – IHP'!#REF!,24))</f>
        <v>#REF!</v>
      </c>
      <c r="K22">
        <f t="shared" si="0"/>
        <v>0</v>
      </c>
      <c r="L22">
        <f t="shared" si="1"/>
        <v>0</v>
      </c>
    </row>
    <row r="23" spans="1:12" x14ac:dyDescent="0.35">
      <c r="A23">
        <v>25</v>
      </c>
      <c r="B23">
        <f>IF(ISBLANK(INDEX('Milestone Tracker – IHP'!$B:$B,25)),B22,INDEX('Milestone Tracker – IHP'!$B:$B,25))</f>
        <v>0</v>
      </c>
      <c r="C23">
        <f>IF(ISBLANK(INDEX('Milestone Tracker – IHP'!$C:$C,25)),C22,INDEX('Milestone Tracker – IHP'!$C:$C,25))</f>
        <v>0</v>
      </c>
      <c r="D23">
        <f>IF(ISBLANK(INDEX('Milestone Tracker – IHP'!$D:$D,25)),D22,INDEX('Milestone Tracker – IHP'!$D:$D,25))</f>
        <v>0</v>
      </c>
      <c r="E23" t="str">
        <f>IF(ISBLANK(INDEX('Milestone Tracker – IHP'!$E:$E,25)),"",INDEX('Milestone Tracker – IHP'!$E:$E,25))</f>
        <v/>
      </c>
      <c r="F23" t="str">
        <f>IF(ISBLANK(INDEX('Milestone Tracker – IHP'!$F:$F,25)),"",INDEX('Milestone Tracker – IHP'!$F:$F,25))</f>
        <v/>
      </c>
      <c r="G23" s="18" t="e">
        <f>IF(ISBLANK(INDEX('Milestone Tracker – IHP'!#REF!,25)),"",INDEX('Milestone Tracker – IHP'!#REF!,25))</f>
        <v>#REF!</v>
      </c>
      <c r="H23" s="19" t="str">
        <f>IF(ISBLANK(INDEX('Milestone Tracker – IHP'!$G:$G,25)),"",INDEX('Milestone Tracker – IHP'!$G:$G,25))</f>
        <v/>
      </c>
      <c r="I23" s="19" t="str">
        <f>IF(ISBLANK(INDEX('Milestone Tracker – IHP'!$H:$H,25)),"",INDEX('Milestone Tracker – IHP'!$H:$H,25))</f>
        <v/>
      </c>
      <c r="J23" s="19" t="e">
        <f>IF(ISBLANK(INDEX('Milestone Tracker – IHP'!#REF!,25)),"",INDEX('Milestone Tracker – IHP'!#REF!,25))</f>
        <v>#REF!</v>
      </c>
      <c r="K23">
        <f t="shared" si="0"/>
        <v>0</v>
      </c>
      <c r="L23">
        <f t="shared" si="1"/>
        <v>0</v>
      </c>
    </row>
    <row r="24" spans="1:12" x14ac:dyDescent="0.35">
      <c r="A24">
        <v>26</v>
      </c>
      <c r="B24">
        <f>IF(ISBLANK(INDEX('Milestone Tracker – IHP'!$B:$B,26)),B23,INDEX('Milestone Tracker – IHP'!$B:$B,26))</f>
        <v>0</v>
      </c>
      <c r="C24">
        <f>IF(ISBLANK(INDEX('Milestone Tracker – IHP'!$C:$C,26)),C23,INDEX('Milestone Tracker – IHP'!$C:$C,26))</f>
        <v>0</v>
      </c>
      <c r="D24">
        <f>IF(ISBLANK(INDEX('Milestone Tracker – IHP'!$D:$D,26)),D23,INDEX('Milestone Tracker – IHP'!$D:$D,26))</f>
        <v>0</v>
      </c>
      <c r="E24" t="str">
        <f>IF(ISBLANK(INDEX('Milestone Tracker – IHP'!$E:$E,26)),"",INDEX('Milestone Tracker – IHP'!$E:$E,26))</f>
        <v/>
      </c>
      <c r="F24" t="str">
        <f>IF(ISBLANK(INDEX('Milestone Tracker – IHP'!$F:$F,26)),"",INDEX('Milestone Tracker – IHP'!$F:$F,26))</f>
        <v/>
      </c>
      <c r="G24" s="18" t="e">
        <f>IF(ISBLANK(INDEX('Milestone Tracker – IHP'!#REF!,26)),"",INDEX('Milestone Tracker – IHP'!#REF!,26))</f>
        <v>#REF!</v>
      </c>
      <c r="H24" s="19" t="str">
        <f>IF(ISBLANK(INDEX('Milestone Tracker – IHP'!$G:$G,26)),"",INDEX('Milestone Tracker – IHP'!$G:$G,26))</f>
        <v/>
      </c>
      <c r="I24" s="19" t="str">
        <f>IF(ISBLANK(INDEX('Milestone Tracker – IHP'!$H:$H,26)),"",INDEX('Milestone Tracker – IHP'!$H:$H,26))</f>
        <v/>
      </c>
      <c r="J24" t="e">
        <f>IF(ISBLANK(INDEX('Milestone Tracker – IHP'!#REF!,26)),"",INDEX('Milestone Tracker – IHP'!#REF!,26))</f>
        <v>#REF!</v>
      </c>
      <c r="K24">
        <f t="shared" si="0"/>
        <v>0</v>
      </c>
      <c r="L24">
        <f t="shared" si="1"/>
        <v>0</v>
      </c>
    </row>
    <row r="25" spans="1:12" x14ac:dyDescent="0.35">
      <c r="A25">
        <v>27</v>
      </c>
      <c r="B25">
        <f>IF(ISBLANK(INDEX('Milestone Tracker – IHP'!$B:$B,27)),B24,INDEX('Milestone Tracker – IHP'!$B:$B,27))</f>
        <v>0</v>
      </c>
      <c r="C25">
        <f>IF(ISBLANK(INDEX('Milestone Tracker – IHP'!$C:$C,27)),C24,INDEX('Milestone Tracker – IHP'!$C:$C,27))</f>
        <v>0</v>
      </c>
      <c r="D25">
        <f>IF(ISBLANK(INDEX('Milestone Tracker – IHP'!$D:$D,27)),D24,INDEX('Milestone Tracker – IHP'!$D:$D,27))</f>
        <v>0</v>
      </c>
      <c r="E25" t="str">
        <f>IF(ISBLANK(INDEX('Milestone Tracker – IHP'!$E:$E,27)),"",INDEX('Milestone Tracker – IHP'!$E:$E,27))</f>
        <v/>
      </c>
      <c r="F25" t="str">
        <f>IF(ISBLANK(INDEX('Milestone Tracker – IHP'!$F:$F,27)),"",INDEX('Milestone Tracker – IHP'!$F:$F,27))</f>
        <v/>
      </c>
      <c r="G25" s="18" t="e">
        <f>IF(ISBLANK(INDEX('Milestone Tracker – IHP'!#REF!,27)),"",INDEX('Milestone Tracker – IHP'!#REF!,27))</f>
        <v>#REF!</v>
      </c>
      <c r="H25" s="19" t="str">
        <f>IF(ISBLANK(INDEX('Milestone Tracker – IHP'!$G:$G,27)),"",INDEX('Milestone Tracker – IHP'!$G:$G,27))</f>
        <v/>
      </c>
      <c r="I25" t="str">
        <f>IF(ISBLANK(INDEX('Milestone Tracker – IHP'!$H:$H,27)),"",INDEX('Milestone Tracker – IHP'!$H:$H,27))</f>
        <v/>
      </c>
      <c r="J25" t="e">
        <f>IF(ISBLANK(INDEX('Milestone Tracker – IHP'!#REF!,27)),"",INDEX('Milestone Tracker – IHP'!#REF!,27))</f>
        <v>#REF!</v>
      </c>
      <c r="K25">
        <f t="shared" si="0"/>
        <v>0</v>
      </c>
      <c r="L25">
        <f t="shared" si="1"/>
        <v>0</v>
      </c>
    </row>
    <row r="26" spans="1:12" x14ac:dyDescent="0.35">
      <c r="A26">
        <v>28</v>
      </c>
      <c r="B26">
        <f>IF(ISBLANK(INDEX('Milestone Tracker – IHP'!$B:$B,28)),B25,INDEX('Milestone Tracker – IHP'!$B:$B,28))</f>
        <v>0</v>
      </c>
      <c r="C26">
        <f>IF(ISBLANK(INDEX('Milestone Tracker – IHP'!$C:$C,28)),C25,INDEX('Milestone Tracker – IHP'!$C:$C,28))</f>
        <v>0</v>
      </c>
      <c r="D26">
        <f>IF(ISBLANK(INDEX('Milestone Tracker – IHP'!$D:$D,28)),D25,INDEX('Milestone Tracker – IHP'!$D:$D,28))</f>
        <v>0</v>
      </c>
      <c r="E26" t="str">
        <f>IF(ISBLANK(INDEX('Milestone Tracker – IHP'!$E:$E,28)),"",INDEX('Milestone Tracker – IHP'!$E:$E,28))</f>
        <v/>
      </c>
      <c r="F26" t="str">
        <f>IF(ISBLANK(INDEX('Milestone Tracker – IHP'!$F:$F,28)),"",INDEX('Milestone Tracker – IHP'!$F:$F,28))</f>
        <v/>
      </c>
      <c r="G26" s="18" t="e">
        <f>IF(ISBLANK(INDEX('Milestone Tracker – IHP'!#REF!,28)),"",INDEX('Milestone Tracker – IHP'!#REF!,28))</f>
        <v>#REF!</v>
      </c>
      <c r="H26" s="19" t="str">
        <f>IF(ISBLANK(INDEX('Milestone Tracker – IHP'!$G:$G,28)),"",INDEX('Milestone Tracker – IHP'!$G:$G,28))</f>
        <v/>
      </c>
      <c r="I26" t="str">
        <f>IF(ISBLANK(INDEX('Milestone Tracker – IHP'!$H:$H,28)),"",INDEX('Milestone Tracker – IHP'!$H:$H,28))</f>
        <v/>
      </c>
      <c r="J26" t="e">
        <f>IF(ISBLANK(INDEX('Milestone Tracker – IHP'!#REF!,28)),"",INDEX('Milestone Tracker – IHP'!#REF!,28))</f>
        <v>#REF!</v>
      </c>
      <c r="K26">
        <f t="shared" si="0"/>
        <v>0</v>
      </c>
      <c r="L26">
        <f t="shared" si="1"/>
        <v>0</v>
      </c>
    </row>
    <row r="27" spans="1:12" x14ac:dyDescent="0.35">
      <c r="A27">
        <v>29</v>
      </c>
      <c r="B27">
        <f>IF(ISBLANK(INDEX('Milestone Tracker – IHP'!$B:$B,29)),B26,INDEX('Milestone Tracker – IHP'!$B:$B,29))</f>
        <v>0</v>
      </c>
      <c r="C27">
        <f>IF(ISBLANK(INDEX('Milestone Tracker – IHP'!$C:$C,29)),C26,INDEX('Milestone Tracker – IHP'!$C:$C,29))</f>
        <v>0</v>
      </c>
      <c r="D27">
        <f>IF(ISBLANK(INDEX('Milestone Tracker – IHP'!$D:$D,29)),D26,INDEX('Milestone Tracker – IHP'!$D:$D,29))</f>
        <v>0</v>
      </c>
      <c r="E27" t="str">
        <f>IF(ISBLANK(INDEX('Milestone Tracker – IHP'!$E:$E,29)),"",INDEX('Milestone Tracker – IHP'!$E:$E,29))</f>
        <v/>
      </c>
      <c r="F27" t="str">
        <f>IF(ISBLANK(INDEX('Milestone Tracker – IHP'!$F:$F,29)),"",INDEX('Milestone Tracker – IHP'!$F:$F,29))</f>
        <v/>
      </c>
      <c r="G27" s="18" t="e">
        <f>IF(ISBLANK(INDEX('Milestone Tracker – IHP'!#REF!,29)),"",INDEX('Milestone Tracker – IHP'!#REF!,29))</f>
        <v>#REF!</v>
      </c>
      <c r="H27" s="19" t="str">
        <f>IF(ISBLANK(INDEX('Milestone Tracker – IHP'!$G:$G,29)),"",INDEX('Milestone Tracker – IHP'!$G:$G,29))</f>
        <v/>
      </c>
      <c r="I27" t="str">
        <f>IF(ISBLANK(INDEX('Milestone Tracker – IHP'!$H:$H,29)),"",INDEX('Milestone Tracker – IHP'!$H:$H,29))</f>
        <v/>
      </c>
      <c r="J27" t="e">
        <f>IF(ISBLANK(INDEX('Milestone Tracker – IHP'!#REF!,29)),"",INDEX('Milestone Tracker – IHP'!#REF!,29))</f>
        <v>#REF!</v>
      </c>
      <c r="K27">
        <f t="shared" si="0"/>
        <v>0</v>
      </c>
      <c r="L27">
        <f t="shared" si="1"/>
        <v>0</v>
      </c>
    </row>
    <row r="28" spans="1:12" x14ac:dyDescent="0.35">
      <c r="A28">
        <v>30</v>
      </c>
      <c r="B28">
        <f>IF(ISBLANK(INDEX('Milestone Tracker – IHP'!$B:$B,30)),B27,INDEX('Milestone Tracker – IHP'!$B:$B,30))</f>
        <v>0</v>
      </c>
      <c r="C28">
        <f>IF(ISBLANK(INDEX('Milestone Tracker – IHP'!$C:$C,30)),C27,INDEX('Milestone Tracker – IHP'!$C:$C,30))</f>
        <v>0</v>
      </c>
      <c r="D28">
        <f>IF(ISBLANK(INDEX('Milestone Tracker – IHP'!$D:$D,30)),D27,INDEX('Milestone Tracker – IHP'!$D:$D,30))</f>
        <v>0</v>
      </c>
      <c r="E28" t="str">
        <f>IF(ISBLANK(INDEX('Milestone Tracker – IHP'!$E:$E,30)),"",INDEX('Milestone Tracker – IHP'!$E:$E,30))</f>
        <v/>
      </c>
      <c r="F28" t="str">
        <f>IF(ISBLANK(INDEX('Milestone Tracker – IHP'!$F:$F,30)),"",INDEX('Milestone Tracker – IHP'!$F:$F,30))</f>
        <v/>
      </c>
      <c r="G28" s="18" t="e">
        <f>IF(ISBLANK(INDEX('Milestone Tracker – IHP'!#REF!,30)),"",INDEX('Milestone Tracker – IHP'!#REF!,30))</f>
        <v>#REF!</v>
      </c>
      <c r="H28" t="str">
        <f>IF(ISBLANK(INDEX('Milestone Tracker – IHP'!$G:$G,30)),"",INDEX('Milestone Tracker – IHP'!$G:$G,30))</f>
        <v/>
      </c>
      <c r="I28" t="str">
        <f>IF(ISBLANK(INDEX('Milestone Tracker – IHP'!$H:$H,30)),"",INDEX('Milestone Tracker – IHP'!$H:$H,30))</f>
        <v/>
      </c>
      <c r="J28" t="e">
        <f>IF(ISBLANK(INDEX('Milestone Tracker – IHP'!#REF!,30)),"",INDEX('Milestone Tracker – IHP'!#REF!,30))</f>
        <v>#REF!</v>
      </c>
      <c r="K28">
        <f t="shared" si="0"/>
        <v>0</v>
      </c>
      <c r="L28">
        <f t="shared" si="1"/>
        <v>0</v>
      </c>
    </row>
    <row r="29" spans="1:12" x14ac:dyDescent="0.35">
      <c r="A29">
        <v>31</v>
      </c>
      <c r="B29">
        <f>IF(ISBLANK(INDEX('Milestone Tracker – IHP'!$B:$B,31)),B28,INDEX('Milestone Tracker – IHP'!$B:$B,31))</f>
        <v>0</v>
      </c>
      <c r="C29">
        <f>IF(ISBLANK(INDEX('Milestone Tracker – IHP'!$C:$C,31)),C28,INDEX('Milestone Tracker – IHP'!$C:$C,31))</f>
        <v>0</v>
      </c>
      <c r="D29">
        <f>IF(ISBLANK(INDEX('Milestone Tracker – IHP'!$D:$D,31)),D28,INDEX('Milestone Tracker – IHP'!$D:$D,31))</f>
        <v>0</v>
      </c>
      <c r="E29" t="str">
        <f>IF(ISBLANK(INDEX('Milestone Tracker – IHP'!$E:$E,31)),"",INDEX('Milestone Tracker – IHP'!$E:$E,31))</f>
        <v/>
      </c>
      <c r="F29" t="str">
        <f>IF(ISBLANK(INDEX('Milestone Tracker – IHP'!$F:$F,31)),"",INDEX('Milestone Tracker – IHP'!$F:$F,31))</f>
        <v/>
      </c>
      <c r="G29" s="18" t="e">
        <f>IF(ISBLANK(INDEX('Milestone Tracker – IHP'!#REF!,31)),"",INDEX('Milestone Tracker – IHP'!#REF!,31))</f>
        <v>#REF!</v>
      </c>
      <c r="H29" t="str">
        <f>IF(ISBLANK(INDEX('Milestone Tracker – IHP'!$G:$G,31)),"",INDEX('Milestone Tracker – IHP'!$G:$G,31))</f>
        <v/>
      </c>
      <c r="I29" t="str">
        <f>IF(ISBLANK(INDEX('Milestone Tracker – IHP'!$H:$H,31)),"",INDEX('Milestone Tracker – IHP'!$H:$H,31))</f>
        <v/>
      </c>
      <c r="J29" s="18" t="e">
        <f>IF(ISBLANK(INDEX('Milestone Tracker – IHP'!#REF!,31)),"",INDEX('Milestone Tracker – IHP'!#REF!,31))</f>
        <v>#REF!</v>
      </c>
      <c r="K29">
        <f t="shared" si="0"/>
        <v>0</v>
      </c>
      <c r="L29">
        <f t="shared" si="1"/>
        <v>0</v>
      </c>
    </row>
    <row r="30" spans="1:12" x14ac:dyDescent="0.35">
      <c r="A30">
        <v>32</v>
      </c>
      <c r="B30">
        <f>IF(ISBLANK(INDEX('Milestone Tracker – IHP'!$B:$B,32)),B29,INDEX('Milestone Tracker – IHP'!$B:$B,32))</f>
        <v>0</v>
      </c>
      <c r="C30">
        <f>IF(ISBLANK(INDEX('Milestone Tracker – IHP'!$C:$C,32)),C29,INDEX('Milestone Tracker – IHP'!$C:$C,32))</f>
        <v>0</v>
      </c>
      <c r="D30">
        <f>IF(ISBLANK(INDEX('Milestone Tracker – IHP'!$D:$D,32)),D29,INDEX('Milestone Tracker – IHP'!$D:$D,32))</f>
        <v>0</v>
      </c>
      <c r="E30" t="str">
        <f>IF(ISBLANK(INDEX('Milestone Tracker – IHP'!$E:$E,32)),"",INDEX('Milestone Tracker – IHP'!$E:$E,32))</f>
        <v/>
      </c>
      <c r="F30" t="str">
        <f>IF(ISBLANK(INDEX('Milestone Tracker – IHP'!$F:$F,32)),"",INDEX('Milestone Tracker – IHP'!$F:$F,32))</f>
        <v/>
      </c>
      <c r="G30" s="18" t="e">
        <f>IF(ISBLANK(INDEX('Milestone Tracker – IHP'!#REF!,32)),"",INDEX('Milestone Tracker – IHP'!#REF!,32))</f>
        <v>#REF!</v>
      </c>
      <c r="H30" s="19" t="str">
        <f>IF(ISBLANK(INDEX('Milestone Tracker – IHP'!$G:$G,32)),"",INDEX('Milestone Tracker – IHP'!$G:$G,32))</f>
        <v/>
      </c>
      <c r="I30" s="19" t="str">
        <f>IF(ISBLANK(INDEX('Milestone Tracker – IHP'!$H:$H,32)),"",INDEX('Milestone Tracker – IHP'!$H:$H,32))</f>
        <v/>
      </c>
      <c r="J30" s="19" t="e">
        <f>IF(ISBLANK(INDEX('Milestone Tracker – IHP'!#REF!,32)),"",INDEX('Milestone Tracker – IHP'!#REF!,32))</f>
        <v>#REF!</v>
      </c>
      <c r="K30">
        <f t="shared" si="0"/>
        <v>0</v>
      </c>
      <c r="L30">
        <f t="shared" si="1"/>
        <v>0</v>
      </c>
    </row>
    <row r="31" spans="1:12" x14ac:dyDescent="0.35">
      <c r="A31">
        <v>33</v>
      </c>
      <c r="B31">
        <f>IF(ISBLANK(INDEX('Milestone Tracker – IHP'!$B:$B,33)),B30,INDEX('Milestone Tracker – IHP'!$B:$B,33))</f>
        <v>0</v>
      </c>
      <c r="C31">
        <f>IF(ISBLANK(INDEX('Milestone Tracker – IHP'!$C:$C,33)),C30,INDEX('Milestone Tracker – IHP'!$C:$C,33))</f>
        <v>0</v>
      </c>
      <c r="D31">
        <f>IF(ISBLANK(INDEX('Milestone Tracker – IHP'!$D:$D,33)),D30,INDEX('Milestone Tracker – IHP'!$D:$D,33))</f>
        <v>0</v>
      </c>
      <c r="E31" t="str">
        <f>IF(ISBLANK(INDEX('Milestone Tracker – IHP'!$E:$E,33)),"",INDEX('Milestone Tracker – IHP'!$E:$E,33))</f>
        <v/>
      </c>
      <c r="F31" t="str">
        <f>IF(ISBLANK(INDEX('Milestone Tracker – IHP'!$F:$F,33)),"",INDEX('Milestone Tracker – IHP'!$F:$F,33))</f>
        <v/>
      </c>
      <c r="G31" s="18" t="e">
        <f>IF(ISBLANK(INDEX('Milestone Tracker – IHP'!#REF!,33)),"",INDEX('Milestone Tracker – IHP'!#REF!,33))</f>
        <v>#REF!</v>
      </c>
      <c r="H31" s="19" t="str">
        <f>IF(ISBLANK(INDEX('Milestone Tracker – IHP'!$G:$G,33)),"",INDEX('Milestone Tracker – IHP'!$G:$G,33))</f>
        <v/>
      </c>
      <c r="I31" s="19" t="str">
        <f>IF(ISBLANK(INDEX('Milestone Tracker – IHP'!$H:$H,33)),"",INDEX('Milestone Tracker – IHP'!$H:$H,33))</f>
        <v/>
      </c>
      <c r="J31" s="19" t="e">
        <f>IF(ISBLANK(INDEX('Milestone Tracker – IHP'!#REF!,33)),"",INDEX('Milestone Tracker – IHP'!#REF!,33))</f>
        <v>#REF!</v>
      </c>
      <c r="K31">
        <f t="shared" si="0"/>
        <v>0</v>
      </c>
      <c r="L31">
        <f t="shared" si="1"/>
        <v>0</v>
      </c>
    </row>
    <row r="32" spans="1:12" x14ac:dyDescent="0.35">
      <c r="A32">
        <v>34</v>
      </c>
      <c r="B32">
        <f>IF(ISBLANK(INDEX('Milestone Tracker – IHP'!$B:$B,34)),B31,INDEX('Milestone Tracker – IHP'!$B:$B,34))</f>
        <v>0</v>
      </c>
      <c r="C32">
        <f>IF(ISBLANK(INDEX('Milestone Tracker – IHP'!$C:$C,34)),C31,INDEX('Milestone Tracker – IHP'!$C:$C,34))</f>
        <v>0</v>
      </c>
      <c r="D32">
        <f>IF(ISBLANK(INDEX('Milestone Tracker – IHP'!$D:$D,34)),D31,INDEX('Milestone Tracker – IHP'!$D:$D,34))</f>
        <v>0</v>
      </c>
      <c r="E32" t="str">
        <f>IF(ISBLANK(INDEX('Milestone Tracker – IHP'!$E:$E,34)),"",INDEX('Milestone Tracker – IHP'!$E:$E,34))</f>
        <v/>
      </c>
      <c r="F32" t="str">
        <f>IF(ISBLANK(INDEX('Milestone Tracker – IHP'!$F:$F,34)),"",INDEX('Milestone Tracker – IHP'!$F:$F,34))</f>
        <v/>
      </c>
      <c r="G32" s="18" t="e">
        <f>IF(ISBLANK(INDEX('Milestone Tracker – IHP'!#REF!,34)),"",INDEX('Milestone Tracker – IHP'!#REF!,34))</f>
        <v>#REF!</v>
      </c>
      <c r="H32" s="19" t="str">
        <f>IF(ISBLANK(INDEX('Milestone Tracker – IHP'!$G:$G,34)),"",INDEX('Milestone Tracker – IHP'!$G:$G,34))</f>
        <v/>
      </c>
      <c r="I32" s="19" t="str">
        <f>IF(ISBLANK(INDEX('Milestone Tracker – IHP'!$H:$H,34)),"",INDEX('Milestone Tracker – IHP'!$H:$H,34))</f>
        <v/>
      </c>
      <c r="J32" s="19" t="e">
        <f>IF(ISBLANK(INDEX('Milestone Tracker – IHP'!#REF!,34)),"",INDEX('Milestone Tracker – IHP'!#REF!,34))</f>
        <v>#REF!</v>
      </c>
      <c r="K32">
        <f t="shared" si="0"/>
        <v>0</v>
      </c>
      <c r="L32">
        <f t="shared" si="1"/>
        <v>0</v>
      </c>
    </row>
    <row r="33" spans="1:12" x14ac:dyDescent="0.35">
      <c r="A33">
        <v>35</v>
      </c>
      <c r="B33">
        <f>IF(ISBLANK(INDEX('Milestone Tracker – IHP'!$B:$B,35)),B32,INDEX('Milestone Tracker – IHP'!$B:$B,35))</f>
        <v>0</v>
      </c>
      <c r="C33">
        <f>IF(ISBLANK(INDEX('Milestone Tracker – IHP'!$C:$C,35)),C32,INDEX('Milestone Tracker – IHP'!$C:$C,35))</f>
        <v>0</v>
      </c>
      <c r="D33">
        <f>IF(ISBLANK(INDEX('Milestone Tracker – IHP'!$D:$D,35)),D32,INDEX('Milestone Tracker – IHP'!$D:$D,35))</f>
        <v>0</v>
      </c>
      <c r="E33" t="str">
        <f>IF(ISBLANK(INDEX('Milestone Tracker – IHP'!$E:$E,35)),"",INDEX('Milestone Tracker – IHP'!$E:$E,35))</f>
        <v/>
      </c>
      <c r="F33" t="str">
        <f>IF(ISBLANK(INDEX('Milestone Tracker – IHP'!$F:$F,35)),"",INDEX('Milestone Tracker – IHP'!$F:$F,35))</f>
        <v/>
      </c>
      <c r="G33" s="18" t="e">
        <f>IF(ISBLANK(INDEX('Milestone Tracker – IHP'!#REF!,35)),"",INDEX('Milestone Tracker – IHP'!#REF!,35))</f>
        <v>#REF!</v>
      </c>
      <c r="H33" s="19" t="str">
        <f>IF(ISBLANK(INDEX('Milestone Tracker – IHP'!$G:$G,35)),"",INDEX('Milestone Tracker – IHP'!$G:$G,35))</f>
        <v/>
      </c>
      <c r="I33" s="19" t="str">
        <f>IF(ISBLANK(INDEX('Milestone Tracker – IHP'!$H:$H,35)),"",INDEX('Milestone Tracker – IHP'!$H:$H,35))</f>
        <v/>
      </c>
      <c r="J33" s="19" t="e">
        <f>IF(ISBLANK(INDEX('Milestone Tracker – IHP'!#REF!,35)),"",INDEX('Milestone Tracker – IHP'!#REF!,35))</f>
        <v>#REF!</v>
      </c>
      <c r="K33">
        <f t="shared" si="0"/>
        <v>0</v>
      </c>
      <c r="L33">
        <f t="shared" si="1"/>
        <v>0</v>
      </c>
    </row>
    <row r="34" spans="1:12" x14ac:dyDescent="0.35">
      <c r="A34">
        <v>36</v>
      </c>
      <c r="B34">
        <f>IF(ISBLANK(INDEX('Milestone Tracker – IHP'!$B:$B,36)),B33,INDEX('Milestone Tracker – IHP'!$B:$B,36))</f>
        <v>0</v>
      </c>
      <c r="C34">
        <f>IF(ISBLANK(INDEX('Milestone Tracker – IHP'!$C:$C,36)),C33,INDEX('Milestone Tracker – IHP'!$C:$C,36))</f>
        <v>0</v>
      </c>
      <c r="D34">
        <f>IF(ISBLANK(INDEX('Milestone Tracker – IHP'!$D:$D,36)),D33,INDEX('Milestone Tracker – IHP'!$D:$D,36))</f>
        <v>0</v>
      </c>
      <c r="E34" t="str">
        <f>IF(ISBLANK(INDEX('Milestone Tracker – IHP'!$E:$E,36)),"",INDEX('Milestone Tracker – IHP'!$E:$E,36))</f>
        <v/>
      </c>
      <c r="F34" t="str">
        <f>IF(ISBLANK(INDEX('Milestone Tracker – IHP'!$F:$F,36)),"",INDEX('Milestone Tracker – IHP'!$F:$F,36))</f>
        <v/>
      </c>
      <c r="G34" s="18" t="e">
        <f>IF(ISBLANK(INDEX('Milestone Tracker – IHP'!#REF!,36)),"",INDEX('Milestone Tracker – IHP'!#REF!,36))</f>
        <v>#REF!</v>
      </c>
      <c r="H34" s="19" t="str">
        <f>IF(ISBLANK(INDEX('Milestone Tracker – IHP'!$G:$G,36)),"",INDEX('Milestone Tracker – IHP'!$G:$G,36))</f>
        <v/>
      </c>
      <c r="I34" t="str">
        <f>IF(ISBLANK(INDEX('Milestone Tracker – IHP'!$H:$H,36)),"",INDEX('Milestone Tracker – IHP'!$H:$H,36))</f>
        <v/>
      </c>
      <c r="J34" t="e">
        <f>IF(ISBLANK(INDEX('Milestone Tracker – IHP'!#REF!,36)),"",INDEX('Milestone Tracker – IHP'!#REF!,36))</f>
        <v>#REF!</v>
      </c>
      <c r="K34">
        <f t="shared" si="0"/>
        <v>0</v>
      </c>
      <c r="L34">
        <f t="shared" si="1"/>
        <v>0</v>
      </c>
    </row>
    <row r="35" spans="1:12" x14ac:dyDescent="0.35">
      <c r="A35">
        <v>37</v>
      </c>
      <c r="B35">
        <f>IF(ISBLANK(INDEX('Milestone Tracker – IHP'!$B:$B,37)),B34,INDEX('Milestone Tracker – IHP'!$B:$B,37))</f>
        <v>0</v>
      </c>
      <c r="C35">
        <f>IF(ISBLANK(INDEX('Milestone Tracker – IHP'!$C:$C,37)),C34,INDEX('Milestone Tracker – IHP'!$C:$C,37))</f>
        <v>0</v>
      </c>
      <c r="D35">
        <f>IF(ISBLANK(INDEX('Milestone Tracker – IHP'!$D:$D,37)),D34,INDEX('Milestone Tracker – IHP'!$D:$D,37))</f>
        <v>0</v>
      </c>
      <c r="E35" t="str">
        <f>IF(ISBLANK(INDEX('Milestone Tracker – IHP'!$E:$E,37)),"",INDEX('Milestone Tracker – IHP'!$E:$E,37))</f>
        <v/>
      </c>
      <c r="F35" t="str">
        <f>IF(ISBLANK(INDEX('Milestone Tracker – IHP'!$F:$F,37)),"",INDEX('Milestone Tracker – IHP'!$F:$F,37))</f>
        <v/>
      </c>
      <c r="G35" s="18" t="e">
        <f>IF(ISBLANK(INDEX('Milestone Tracker – IHP'!#REF!,37)),"",INDEX('Milestone Tracker – IHP'!#REF!,37))</f>
        <v>#REF!</v>
      </c>
      <c r="H35" s="19" t="str">
        <f>IF(ISBLANK(INDEX('Milestone Tracker – IHP'!$G:$G,37)),"",INDEX('Milestone Tracker – IHP'!$G:$G,37))</f>
        <v/>
      </c>
      <c r="I35" t="str">
        <f>IF(ISBLANK(INDEX('Milestone Tracker – IHP'!$H:$H,37)),"",INDEX('Milestone Tracker – IHP'!$H:$H,37))</f>
        <v/>
      </c>
      <c r="J35" t="e">
        <f>IF(ISBLANK(INDEX('Milestone Tracker – IHP'!#REF!,37)),"",INDEX('Milestone Tracker – IHP'!#REF!,37))</f>
        <v>#REF!</v>
      </c>
      <c r="K35">
        <f t="shared" si="0"/>
        <v>0</v>
      </c>
      <c r="L35">
        <f t="shared" si="1"/>
        <v>0</v>
      </c>
    </row>
    <row r="36" spans="1:12" x14ac:dyDescent="0.35">
      <c r="A36">
        <v>38</v>
      </c>
      <c r="B36">
        <f>IF(ISBLANK(INDEX('Milestone Tracker – IHP'!$B:$B,38)),B35,INDEX('Milestone Tracker – IHP'!$B:$B,38))</f>
        <v>0</v>
      </c>
      <c r="C36">
        <f>IF(ISBLANK(INDEX('Milestone Tracker – IHP'!$C:$C,38)),C35,INDEX('Milestone Tracker – IHP'!$C:$C,38))</f>
        <v>0</v>
      </c>
      <c r="D36">
        <f>IF(ISBLANK(INDEX('Milestone Tracker – IHP'!$D:$D,38)),D35,INDEX('Milestone Tracker – IHP'!$D:$D,38))</f>
        <v>0</v>
      </c>
      <c r="E36" t="str">
        <f>IF(ISBLANK(INDEX('Milestone Tracker – IHP'!$E:$E,38)),"",INDEX('Milestone Tracker – IHP'!$E:$E,38))</f>
        <v/>
      </c>
      <c r="F36" t="str">
        <f>IF(ISBLANK(INDEX('Milestone Tracker – IHP'!$F:$F,38)),"",INDEX('Milestone Tracker – IHP'!$F:$F,38))</f>
        <v/>
      </c>
      <c r="G36" s="18" t="e">
        <f>IF(ISBLANK(INDEX('Milestone Tracker – IHP'!#REF!,38)),"",INDEX('Milestone Tracker – IHP'!#REF!,38))</f>
        <v>#REF!</v>
      </c>
      <c r="H36" s="19" t="str">
        <f>IF(ISBLANK(INDEX('Milestone Tracker – IHP'!$G:$G,38)),"",INDEX('Milestone Tracker – IHP'!$G:$G,38))</f>
        <v/>
      </c>
      <c r="I36" t="str">
        <f>IF(ISBLANK(INDEX('Milestone Tracker – IHP'!$H:$H,38)),"",INDEX('Milestone Tracker – IHP'!$H:$H,38))</f>
        <v/>
      </c>
      <c r="J36" t="e">
        <f>IF(ISBLANK(INDEX('Milestone Tracker – IHP'!#REF!,38)),"",INDEX('Milestone Tracker – IHP'!#REF!,38))</f>
        <v>#REF!</v>
      </c>
      <c r="K36">
        <f t="shared" si="0"/>
        <v>0</v>
      </c>
      <c r="L36">
        <f t="shared" si="1"/>
        <v>0</v>
      </c>
    </row>
    <row r="37" spans="1:12" x14ac:dyDescent="0.35">
      <c r="A37">
        <v>39</v>
      </c>
      <c r="B37">
        <f>IF(ISBLANK(INDEX('Milestone Tracker – IHP'!$B:$B,39)),B36,INDEX('Milestone Tracker – IHP'!$B:$B,39))</f>
        <v>0</v>
      </c>
      <c r="C37">
        <f>IF(ISBLANK(INDEX('Milestone Tracker – IHP'!$C:$C,39)),C36,INDEX('Milestone Tracker – IHP'!$C:$C,39))</f>
        <v>0</v>
      </c>
      <c r="D37">
        <f>IF(ISBLANK(INDEX('Milestone Tracker – IHP'!$D:$D,39)),D36,INDEX('Milestone Tracker – IHP'!$D:$D,39))</f>
        <v>0</v>
      </c>
      <c r="E37" t="str">
        <f>IF(ISBLANK(INDEX('Milestone Tracker – IHP'!$E:$E,39)),"",INDEX('Milestone Tracker – IHP'!$E:$E,39))</f>
        <v/>
      </c>
      <c r="F37" t="str">
        <f>IF(ISBLANK(INDEX('Milestone Tracker – IHP'!$F:$F,39)),"",INDEX('Milestone Tracker – IHP'!$F:$F,39))</f>
        <v/>
      </c>
      <c r="G37" s="18" t="e">
        <f>IF(ISBLANK(INDEX('Milestone Tracker – IHP'!#REF!,39)),"",INDEX('Milestone Tracker – IHP'!#REF!,39))</f>
        <v>#REF!</v>
      </c>
      <c r="H37" s="19" t="str">
        <f>IF(ISBLANK(INDEX('Milestone Tracker – IHP'!$G:$G,39)),"",INDEX('Milestone Tracker – IHP'!$G:$G,39))</f>
        <v/>
      </c>
      <c r="I37" t="str">
        <f>IF(ISBLANK(INDEX('Milestone Tracker – IHP'!$H:$H,39)),"",INDEX('Milestone Tracker – IHP'!$H:$H,39))</f>
        <v/>
      </c>
      <c r="J37" t="e">
        <f>IF(ISBLANK(INDEX('Milestone Tracker – IHP'!#REF!,39)),"",INDEX('Milestone Tracker – IHP'!#REF!,39))</f>
        <v>#REF!</v>
      </c>
      <c r="K37">
        <f t="shared" si="0"/>
        <v>0</v>
      </c>
      <c r="L37">
        <f t="shared" si="1"/>
        <v>0</v>
      </c>
    </row>
    <row r="38" spans="1:12" x14ac:dyDescent="0.35">
      <c r="A38">
        <v>40</v>
      </c>
      <c r="B38">
        <f>IF(ISBLANK(INDEX('Milestone Tracker – IHP'!$B:$B,40)),B37,INDEX('Milestone Tracker – IHP'!$B:$B,40))</f>
        <v>0</v>
      </c>
      <c r="C38">
        <f>IF(ISBLANK(INDEX('Milestone Tracker – IHP'!$C:$C,40)),C37,INDEX('Milestone Tracker – IHP'!$C:$C,40))</f>
        <v>0</v>
      </c>
      <c r="D38">
        <f>IF(ISBLANK(INDEX('Milestone Tracker – IHP'!$D:$D,40)),D37,INDEX('Milestone Tracker – IHP'!$D:$D,40))</f>
        <v>0</v>
      </c>
      <c r="E38" t="str">
        <f>IF(ISBLANK(INDEX('Milestone Tracker – IHP'!$E:$E,40)),"",INDEX('Milestone Tracker – IHP'!$E:$E,40))</f>
        <v/>
      </c>
      <c r="F38" t="str">
        <f>IF(ISBLANK(INDEX('Milestone Tracker – IHP'!$F:$F,40)),"",INDEX('Milestone Tracker – IHP'!$F:$F,40))</f>
        <v/>
      </c>
      <c r="G38" s="18" t="e">
        <f>IF(ISBLANK(INDEX('Milestone Tracker – IHP'!#REF!,40)),"",INDEX('Milestone Tracker – IHP'!#REF!,40))</f>
        <v>#REF!</v>
      </c>
      <c r="H38" t="str">
        <f>IF(ISBLANK(INDEX('Milestone Tracker – IHP'!$G:$G,40)),"",INDEX('Milestone Tracker – IHP'!$G:$G,40))</f>
        <v/>
      </c>
      <c r="I38" t="str">
        <f>IF(ISBLANK(INDEX('Milestone Tracker – IHP'!$H:$H,40)),"",INDEX('Milestone Tracker – IHP'!$H:$H,40))</f>
        <v/>
      </c>
      <c r="J38" t="e">
        <f>IF(ISBLANK(INDEX('Milestone Tracker – IHP'!#REF!,40)),"",INDEX('Milestone Tracker – IHP'!#REF!,40))</f>
        <v>#REF!</v>
      </c>
      <c r="K38">
        <f t="shared" si="0"/>
        <v>0</v>
      </c>
      <c r="L38">
        <f t="shared" si="1"/>
        <v>0</v>
      </c>
    </row>
    <row r="39" spans="1:12" x14ac:dyDescent="0.35">
      <c r="A39">
        <v>41</v>
      </c>
      <c r="B39">
        <f>IF(ISBLANK(INDEX('Milestone Tracker – IHP'!$B:$B,41)),B38,INDEX('Milestone Tracker – IHP'!$B:$B,41))</f>
        <v>0</v>
      </c>
      <c r="C39">
        <f>IF(ISBLANK(INDEX('Milestone Tracker – IHP'!$C:$C,41)),C38,INDEX('Milestone Tracker – IHP'!$C:$C,41))</f>
        <v>0</v>
      </c>
      <c r="D39">
        <f>IF(ISBLANK(INDEX('Milestone Tracker – IHP'!$D:$D,41)),D38,INDEX('Milestone Tracker – IHP'!$D:$D,41))</f>
        <v>0</v>
      </c>
      <c r="E39" t="str">
        <f>IF(ISBLANK(INDEX('Milestone Tracker – IHP'!$E:$E,41)),"",INDEX('Milestone Tracker – IHP'!$E:$E,41))</f>
        <v/>
      </c>
      <c r="F39" t="str">
        <f>IF(ISBLANK(INDEX('Milestone Tracker – IHP'!$F:$F,41)),"",INDEX('Milestone Tracker – IHP'!$F:$F,41))</f>
        <v/>
      </c>
      <c r="G39" s="18" t="e">
        <f>IF(ISBLANK(INDEX('Milestone Tracker – IHP'!#REF!,41)),"",INDEX('Milestone Tracker – IHP'!#REF!,41))</f>
        <v>#REF!</v>
      </c>
      <c r="H39" t="str">
        <f>IF(ISBLANK(INDEX('Milestone Tracker – IHP'!$G:$G,41)),"",INDEX('Milestone Tracker – IHP'!$G:$G,41))</f>
        <v/>
      </c>
      <c r="I39" t="str">
        <f>IF(ISBLANK(INDEX('Milestone Tracker – IHP'!$H:$H,41)),"",INDEX('Milestone Tracker – IHP'!$H:$H,41))</f>
        <v/>
      </c>
      <c r="J39" s="18" t="e">
        <f>IF(ISBLANK(INDEX('Milestone Tracker – IHP'!#REF!,41)),"",INDEX('Milestone Tracker – IHP'!#REF!,41))</f>
        <v>#REF!</v>
      </c>
      <c r="K39">
        <f t="shared" si="0"/>
        <v>0</v>
      </c>
      <c r="L39">
        <f t="shared" si="1"/>
        <v>0</v>
      </c>
    </row>
    <row r="40" spans="1:12" x14ac:dyDescent="0.35">
      <c r="A40">
        <v>42</v>
      </c>
      <c r="B40">
        <f>IF(ISBLANK(INDEX('Milestone Tracker – IHP'!$B:$B,42)),B39,INDEX('Milestone Tracker – IHP'!$B:$B,42))</f>
        <v>0</v>
      </c>
      <c r="C40">
        <f>IF(ISBLANK(INDEX('Milestone Tracker – IHP'!$C:$C,42)),C39,INDEX('Milestone Tracker – IHP'!$C:$C,42))</f>
        <v>0</v>
      </c>
      <c r="D40">
        <f>IF(ISBLANK(INDEX('Milestone Tracker – IHP'!$D:$D,42)),D39,INDEX('Milestone Tracker – IHP'!$D:$D,42))</f>
        <v>0</v>
      </c>
      <c r="E40" t="str">
        <f>IF(ISBLANK(INDEX('Milestone Tracker – IHP'!$E:$E,42)),"",INDEX('Milestone Tracker – IHP'!$E:$E,42))</f>
        <v/>
      </c>
      <c r="F40" t="str">
        <f>IF(ISBLANK(INDEX('Milestone Tracker – IHP'!$F:$F,42)),"",INDEX('Milestone Tracker – IHP'!$F:$F,42))</f>
        <v/>
      </c>
      <c r="G40" s="18" t="e">
        <f>IF(ISBLANK(INDEX('Milestone Tracker – IHP'!#REF!,42)),"",INDEX('Milestone Tracker – IHP'!#REF!,42))</f>
        <v>#REF!</v>
      </c>
      <c r="H40" s="19" t="str">
        <f>IF(ISBLANK(INDEX('Milestone Tracker – IHP'!$G:$G,42)),"",INDEX('Milestone Tracker – IHP'!$G:$G,42))</f>
        <v/>
      </c>
      <c r="I40" s="19" t="str">
        <f>IF(ISBLANK(INDEX('Milestone Tracker – IHP'!$H:$H,42)),"",INDEX('Milestone Tracker – IHP'!$H:$H,42))</f>
        <v/>
      </c>
      <c r="J40" s="19" t="e">
        <f>IF(ISBLANK(INDEX('Milestone Tracker – IHP'!#REF!,42)),"",INDEX('Milestone Tracker – IHP'!#REF!,42))</f>
        <v>#REF!</v>
      </c>
      <c r="K40">
        <f t="shared" si="0"/>
        <v>0</v>
      </c>
      <c r="L40">
        <f t="shared" si="1"/>
        <v>0</v>
      </c>
    </row>
    <row r="41" spans="1:12" x14ac:dyDescent="0.35">
      <c r="A41">
        <v>43</v>
      </c>
      <c r="B41">
        <f>IF(ISBLANK(INDEX('Milestone Tracker – IHP'!$B:$B,43)),B40,INDEX('Milestone Tracker – IHP'!$B:$B,43))</f>
        <v>0</v>
      </c>
      <c r="C41">
        <f>IF(ISBLANK(INDEX('Milestone Tracker – IHP'!$C:$C,43)),C40,INDEX('Milestone Tracker – IHP'!$C:$C,43))</f>
        <v>0</v>
      </c>
      <c r="D41">
        <f>IF(ISBLANK(INDEX('Milestone Tracker – IHP'!$D:$D,43)),D40,INDEX('Milestone Tracker – IHP'!$D:$D,43))</f>
        <v>0</v>
      </c>
      <c r="E41" t="str">
        <f>IF(ISBLANK(INDEX('Milestone Tracker – IHP'!$E:$E,43)),"",INDEX('Milestone Tracker – IHP'!$E:$E,43))</f>
        <v/>
      </c>
      <c r="F41" t="str">
        <f>IF(ISBLANK(INDEX('Milestone Tracker – IHP'!$F:$F,43)),"",INDEX('Milestone Tracker – IHP'!$F:$F,43))</f>
        <v/>
      </c>
      <c r="G41" s="18" t="e">
        <f>IF(ISBLANK(INDEX('Milestone Tracker – IHP'!#REF!,43)),"",INDEX('Milestone Tracker – IHP'!#REF!,43))</f>
        <v>#REF!</v>
      </c>
      <c r="H41" s="19" t="str">
        <f>IF(ISBLANK(INDEX('Milestone Tracker – IHP'!$G:$G,43)),"",INDEX('Milestone Tracker – IHP'!$G:$G,43))</f>
        <v/>
      </c>
      <c r="I41" s="19" t="str">
        <f>IF(ISBLANK(INDEX('Milestone Tracker – IHP'!$H:$H,43)),"",INDEX('Milestone Tracker – IHP'!$H:$H,43))</f>
        <v/>
      </c>
      <c r="J41" s="19" t="e">
        <f>IF(ISBLANK(INDEX('Milestone Tracker – IHP'!#REF!,43)),"",INDEX('Milestone Tracker – IHP'!#REF!,43))</f>
        <v>#REF!</v>
      </c>
      <c r="K41">
        <f t="shared" si="0"/>
        <v>0</v>
      </c>
      <c r="L41">
        <f t="shared" si="1"/>
        <v>0</v>
      </c>
    </row>
    <row r="42" spans="1:12" x14ac:dyDescent="0.35">
      <c r="A42">
        <v>44</v>
      </c>
      <c r="B42">
        <f>IF(ISBLANK(INDEX('Milestone Tracker – IHP'!$B:$B,44)),B41,INDEX('Milestone Tracker – IHP'!$B:$B,44))</f>
        <v>0</v>
      </c>
      <c r="C42">
        <f>IF(ISBLANK(INDEX('Milestone Tracker – IHP'!$C:$C,44)),C41,INDEX('Milestone Tracker – IHP'!$C:$C,44))</f>
        <v>0</v>
      </c>
      <c r="D42">
        <f>IF(ISBLANK(INDEX('Milestone Tracker – IHP'!$D:$D,44)),D41,INDEX('Milestone Tracker – IHP'!$D:$D,44))</f>
        <v>0</v>
      </c>
      <c r="E42" t="str">
        <f>IF(ISBLANK(INDEX('Milestone Tracker – IHP'!$E:$E,44)),"",INDEX('Milestone Tracker – IHP'!$E:$E,44))</f>
        <v/>
      </c>
      <c r="F42" t="str">
        <f>IF(ISBLANK(INDEX('Milestone Tracker – IHP'!$F:$F,44)),"",INDEX('Milestone Tracker – IHP'!$F:$F,44))</f>
        <v/>
      </c>
      <c r="G42" s="18" t="e">
        <f>IF(ISBLANK(INDEX('Milestone Tracker – IHP'!#REF!,44)),"",INDEX('Milestone Tracker – IHP'!#REF!,44))</f>
        <v>#REF!</v>
      </c>
      <c r="H42" s="19" t="str">
        <f>IF(ISBLANK(INDEX('Milestone Tracker – IHP'!$G:$G,44)),"",INDEX('Milestone Tracker – IHP'!$G:$G,44))</f>
        <v/>
      </c>
      <c r="I42" s="19" t="str">
        <f>IF(ISBLANK(INDEX('Milestone Tracker – IHP'!$H:$H,44)),"",INDEX('Milestone Tracker – IHP'!$H:$H,44))</f>
        <v/>
      </c>
      <c r="J42" s="19" t="e">
        <f>IF(ISBLANK(INDEX('Milestone Tracker – IHP'!#REF!,44)),"",INDEX('Milestone Tracker – IHP'!#REF!,44))</f>
        <v>#REF!</v>
      </c>
      <c r="K42">
        <f t="shared" si="0"/>
        <v>0</v>
      </c>
      <c r="L42">
        <f t="shared" si="1"/>
        <v>0</v>
      </c>
    </row>
    <row r="43" spans="1:12" x14ac:dyDescent="0.35">
      <c r="A43">
        <v>45</v>
      </c>
      <c r="B43">
        <f>IF(ISBLANK(INDEX('Milestone Tracker – IHP'!$B:$B,45)),B42,INDEX('Milestone Tracker – IHP'!$B:$B,45))</f>
        <v>0</v>
      </c>
      <c r="C43">
        <f>IF(ISBLANK(INDEX('Milestone Tracker – IHP'!$C:$C,45)),C42,INDEX('Milestone Tracker – IHP'!$C:$C,45))</f>
        <v>0</v>
      </c>
      <c r="D43">
        <f>IF(ISBLANK(INDEX('Milestone Tracker – IHP'!$D:$D,45)),D42,INDEX('Milestone Tracker – IHP'!$D:$D,45))</f>
        <v>0</v>
      </c>
      <c r="E43" t="str">
        <f>IF(ISBLANK(INDEX('Milestone Tracker – IHP'!$E:$E,45)),"",INDEX('Milestone Tracker – IHP'!$E:$E,45))</f>
        <v/>
      </c>
      <c r="F43" t="str">
        <f>IF(ISBLANK(INDEX('Milestone Tracker – IHP'!$F:$F,45)),"",INDEX('Milestone Tracker – IHP'!$F:$F,45))</f>
        <v/>
      </c>
      <c r="G43" s="18" t="e">
        <f>IF(ISBLANK(INDEX('Milestone Tracker – IHP'!#REF!,45)),"",INDEX('Milestone Tracker – IHP'!#REF!,45))</f>
        <v>#REF!</v>
      </c>
      <c r="H43" s="19" t="str">
        <f>IF(ISBLANK(INDEX('Milestone Tracker – IHP'!$G:$G,45)),"",INDEX('Milestone Tracker – IHP'!$G:$G,45))</f>
        <v/>
      </c>
      <c r="I43" s="19" t="str">
        <f>IF(ISBLANK(INDEX('Milestone Tracker – IHP'!$H:$H,45)),"",INDEX('Milestone Tracker – IHP'!$H:$H,45))</f>
        <v/>
      </c>
      <c r="J43" s="19" t="e">
        <f>IF(ISBLANK(INDEX('Milestone Tracker – IHP'!#REF!,45)),"",INDEX('Milestone Tracker – IHP'!#REF!,45))</f>
        <v>#REF!</v>
      </c>
      <c r="K43">
        <f t="shared" si="0"/>
        <v>0</v>
      </c>
      <c r="L43">
        <f t="shared" si="1"/>
        <v>0</v>
      </c>
    </row>
    <row r="44" spans="1:12" x14ac:dyDescent="0.35">
      <c r="A44">
        <v>46</v>
      </c>
      <c r="B44">
        <f>IF(ISBLANK(INDEX('Milestone Tracker – IHP'!$B:$B,46)),B43,INDEX('Milestone Tracker – IHP'!$B:$B,46))</f>
        <v>0</v>
      </c>
      <c r="C44">
        <f>IF(ISBLANK(INDEX('Milestone Tracker – IHP'!$C:$C,46)),C43,INDEX('Milestone Tracker – IHP'!$C:$C,46))</f>
        <v>0</v>
      </c>
      <c r="D44">
        <f>IF(ISBLANK(INDEX('Milestone Tracker – IHP'!$D:$D,46)),D43,INDEX('Milestone Tracker – IHP'!$D:$D,46))</f>
        <v>0</v>
      </c>
      <c r="E44" t="str">
        <f>IF(ISBLANK(INDEX('Milestone Tracker – IHP'!$E:$E,46)),"",INDEX('Milestone Tracker – IHP'!$E:$E,46))</f>
        <v/>
      </c>
      <c r="F44" t="str">
        <f>IF(ISBLANK(INDEX('Milestone Tracker – IHP'!$F:$F,46)),"",INDEX('Milestone Tracker – IHP'!$F:$F,46))</f>
        <v/>
      </c>
      <c r="G44" s="18" t="e">
        <f>IF(ISBLANK(INDEX('Milestone Tracker – IHP'!#REF!,46)),"",INDEX('Milestone Tracker – IHP'!#REF!,46))</f>
        <v>#REF!</v>
      </c>
      <c r="H44" s="19" t="str">
        <f>IF(ISBLANK(INDEX('Milestone Tracker – IHP'!$G:$G,46)),"",INDEX('Milestone Tracker – IHP'!$G:$G,46))</f>
        <v/>
      </c>
      <c r="I44" s="19" t="str">
        <f>IF(ISBLANK(INDEX('Milestone Tracker – IHP'!$H:$H,46)),"",INDEX('Milestone Tracker – IHP'!$H:$H,46))</f>
        <v/>
      </c>
      <c r="J44" s="19" t="e">
        <f>IF(ISBLANK(INDEX('Milestone Tracker – IHP'!#REF!,46)),"",INDEX('Milestone Tracker – IHP'!#REF!,46))</f>
        <v>#REF!</v>
      </c>
      <c r="K44">
        <f t="shared" si="0"/>
        <v>0</v>
      </c>
      <c r="L44">
        <f t="shared" si="1"/>
        <v>0</v>
      </c>
    </row>
    <row r="45" spans="1:12" x14ac:dyDescent="0.35">
      <c r="A45">
        <v>47</v>
      </c>
      <c r="B45">
        <f>IF(ISBLANK(INDEX('Milestone Tracker – IHP'!$B:$B,47)),B44,INDEX('Milestone Tracker – IHP'!$B:$B,47))</f>
        <v>0</v>
      </c>
      <c r="C45">
        <f>IF(ISBLANK(INDEX('Milestone Tracker – IHP'!$C:$C,47)),C44,INDEX('Milestone Tracker – IHP'!$C:$C,47))</f>
        <v>0</v>
      </c>
      <c r="D45">
        <f>IF(ISBLANK(INDEX('Milestone Tracker – IHP'!$D:$D,47)),D44,INDEX('Milestone Tracker – IHP'!$D:$D,47))</f>
        <v>0</v>
      </c>
      <c r="E45" t="str">
        <f>IF(ISBLANK(INDEX('Milestone Tracker – IHP'!$E:$E,47)),"",INDEX('Milestone Tracker – IHP'!$E:$E,47))</f>
        <v/>
      </c>
      <c r="F45" t="str">
        <f>IF(ISBLANK(INDEX('Milestone Tracker – IHP'!$F:$F,47)),"",INDEX('Milestone Tracker – IHP'!$F:$F,47))</f>
        <v/>
      </c>
      <c r="G45" s="18" t="e">
        <f>IF(ISBLANK(INDEX('Milestone Tracker – IHP'!#REF!,47)),"",INDEX('Milestone Tracker – IHP'!#REF!,47))</f>
        <v>#REF!</v>
      </c>
      <c r="H45" s="19" t="str">
        <f>IF(ISBLANK(INDEX('Milestone Tracker – IHP'!$G:$G,47)),"",INDEX('Milestone Tracker – IHP'!$G:$G,47))</f>
        <v/>
      </c>
      <c r="I45" s="19" t="str">
        <f>IF(ISBLANK(INDEX('Milestone Tracker – IHP'!$H:$H,47)),"",INDEX('Milestone Tracker – IHP'!$H:$H,47))</f>
        <v/>
      </c>
      <c r="J45" t="e">
        <f>IF(ISBLANK(INDEX('Milestone Tracker – IHP'!#REF!,47)),"",INDEX('Milestone Tracker – IHP'!#REF!,47))</f>
        <v>#REF!</v>
      </c>
      <c r="K45">
        <f t="shared" si="0"/>
        <v>0</v>
      </c>
      <c r="L45">
        <f t="shared" si="1"/>
        <v>0</v>
      </c>
    </row>
    <row r="46" spans="1:12" x14ac:dyDescent="0.35">
      <c r="A46">
        <v>48</v>
      </c>
      <c r="B46">
        <f>IF(ISBLANK(INDEX('Milestone Tracker – IHP'!$B:$B,48)),B45,INDEX('Milestone Tracker – IHP'!$B:$B,48))</f>
        <v>0</v>
      </c>
      <c r="C46">
        <f>IF(ISBLANK(INDEX('Milestone Tracker – IHP'!$C:$C,48)),C45,INDEX('Milestone Tracker – IHP'!$C:$C,48))</f>
        <v>0</v>
      </c>
      <c r="D46">
        <f>IF(ISBLANK(INDEX('Milestone Tracker – IHP'!$D:$D,48)),D45,INDEX('Milestone Tracker – IHP'!$D:$D,48))</f>
        <v>0</v>
      </c>
      <c r="E46" t="str">
        <f>IF(ISBLANK(INDEX('Milestone Tracker – IHP'!$E:$E,48)),"",INDEX('Milestone Tracker – IHP'!$E:$E,48))</f>
        <v/>
      </c>
      <c r="F46" t="str">
        <f>IF(ISBLANK(INDEX('Milestone Tracker – IHP'!$F:$F,48)),"",INDEX('Milestone Tracker – IHP'!$F:$F,48))</f>
        <v/>
      </c>
      <c r="G46" s="18" t="e">
        <f>IF(ISBLANK(INDEX('Milestone Tracker – IHP'!#REF!,48)),"",INDEX('Milestone Tracker – IHP'!#REF!,48))</f>
        <v>#REF!</v>
      </c>
      <c r="H46" s="19" t="str">
        <f>IF(ISBLANK(INDEX('Milestone Tracker – IHP'!$G:$G,48)),"",INDEX('Milestone Tracker – IHP'!$G:$G,48))</f>
        <v/>
      </c>
      <c r="I46" t="str">
        <f>IF(ISBLANK(INDEX('Milestone Tracker – IHP'!$H:$H,48)),"",INDEX('Milestone Tracker – IHP'!$H:$H,48))</f>
        <v/>
      </c>
      <c r="J46" t="e">
        <f>IF(ISBLANK(INDEX('Milestone Tracker – IHP'!#REF!,48)),"",INDEX('Milestone Tracker – IHP'!#REF!,48))</f>
        <v>#REF!</v>
      </c>
      <c r="K46">
        <f t="shared" si="0"/>
        <v>0</v>
      </c>
      <c r="L46">
        <f t="shared" si="1"/>
        <v>0</v>
      </c>
    </row>
    <row r="47" spans="1:12" x14ac:dyDescent="0.35">
      <c r="A47">
        <v>49</v>
      </c>
      <c r="B47">
        <f>IF(ISBLANK(INDEX('Milestone Tracker – IHP'!$B:$B,49)),B46,INDEX('Milestone Tracker – IHP'!$B:$B,49))</f>
        <v>0</v>
      </c>
      <c r="C47">
        <f>IF(ISBLANK(INDEX('Milestone Tracker – IHP'!$C:$C,49)),C46,INDEX('Milestone Tracker – IHP'!$C:$C,49))</f>
        <v>0</v>
      </c>
      <c r="D47">
        <f>IF(ISBLANK(INDEX('Milestone Tracker – IHP'!$D:$D,49)),D46,INDEX('Milestone Tracker – IHP'!$D:$D,49))</f>
        <v>0</v>
      </c>
      <c r="E47" t="str">
        <f>IF(ISBLANK(INDEX('Milestone Tracker – IHP'!$E:$E,49)),"",INDEX('Milestone Tracker – IHP'!$E:$E,49))</f>
        <v/>
      </c>
      <c r="F47" t="str">
        <f>IF(ISBLANK(INDEX('Milestone Tracker – IHP'!$F:$F,49)),"",INDEX('Milestone Tracker – IHP'!$F:$F,49))</f>
        <v/>
      </c>
      <c r="G47" s="18" t="e">
        <f>IF(ISBLANK(INDEX('Milestone Tracker – IHP'!#REF!,49)),"",INDEX('Milestone Tracker – IHP'!#REF!,49))</f>
        <v>#REF!</v>
      </c>
      <c r="H47" s="19" t="str">
        <f>IF(ISBLANK(INDEX('Milestone Tracker – IHP'!$G:$G,49)),"",INDEX('Milestone Tracker – IHP'!$G:$G,49))</f>
        <v/>
      </c>
      <c r="I47" t="str">
        <f>IF(ISBLANK(INDEX('Milestone Tracker – IHP'!$H:$H,49)),"",INDEX('Milestone Tracker – IHP'!$H:$H,49))</f>
        <v/>
      </c>
      <c r="J47" t="e">
        <f>IF(ISBLANK(INDEX('Milestone Tracker – IHP'!#REF!,49)),"",INDEX('Milestone Tracker – IHP'!#REF!,49))</f>
        <v>#REF!</v>
      </c>
      <c r="K47">
        <f t="shared" si="0"/>
        <v>0</v>
      </c>
      <c r="L47">
        <f t="shared" si="1"/>
        <v>0</v>
      </c>
    </row>
    <row r="48" spans="1:12" x14ac:dyDescent="0.35">
      <c r="A48">
        <v>50</v>
      </c>
      <c r="B48">
        <f>IF(ISBLANK(INDEX('Milestone Tracker – IHP'!$B:$B,50)),B47,INDEX('Milestone Tracker – IHP'!$B:$B,50))</f>
        <v>0</v>
      </c>
      <c r="C48">
        <f>IF(ISBLANK(INDEX('Milestone Tracker – IHP'!$C:$C,50)),C47,INDEX('Milestone Tracker – IHP'!$C:$C,50))</f>
        <v>0</v>
      </c>
      <c r="D48">
        <f>IF(ISBLANK(INDEX('Milestone Tracker – IHP'!$D:$D,50)),D47,INDEX('Milestone Tracker – IHP'!$D:$D,50))</f>
        <v>0</v>
      </c>
      <c r="E48" t="str">
        <f>IF(ISBLANK(INDEX('Milestone Tracker – IHP'!$E:$E,50)),"",INDEX('Milestone Tracker – IHP'!$E:$E,50))</f>
        <v/>
      </c>
      <c r="F48" t="str">
        <f>IF(ISBLANK(INDEX('Milestone Tracker – IHP'!$F:$F,50)),"",INDEX('Milestone Tracker – IHP'!$F:$F,50))</f>
        <v/>
      </c>
      <c r="G48" s="18" t="e">
        <f>IF(ISBLANK(INDEX('Milestone Tracker – IHP'!#REF!,50)),"",INDEX('Milestone Tracker – IHP'!#REF!,50))</f>
        <v>#REF!</v>
      </c>
      <c r="H48" t="str">
        <f>IF(ISBLANK(INDEX('Milestone Tracker – IHP'!$G:$G,50)),"",INDEX('Milestone Tracker – IHP'!$G:$G,50))</f>
        <v/>
      </c>
      <c r="I48" t="str">
        <f>IF(ISBLANK(INDEX('Milestone Tracker – IHP'!$H:$H,50)),"",INDEX('Milestone Tracker – IHP'!$H:$H,50))</f>
        <v/>
      </c>
      <c r="J48" t="e">
        <f>IF(ISBLANK(INDEX('Milestone Tracker – IHP'!#REF!,50)),"",INDEX('Milestone Tracker – IHP'!#REF!,50))</f>
        <v>#REF!</v>
      </c>
      <c r="K48">
        <f t="shared" si="0"/>
        <v>0</v>
      </c>
      <c r="L48">
        <f t="shared" si="1"/>
        <v>0</v>
      </c>
    </row>
    <row r="49" spans="1:12" x14ac:dyDescent="0.35">
      <c r="A49">
        <v>51</v>
      </c>
      <c r="B49">
        <f>IF(ISBLANK(INDEX('Milestone Tracker – IHP'!$B:$B,51)),B48,INDEX('Milestone Tracker – IHP'!$B:$B,51))</f>
        <v>0</v>
      </c>
      <c r="C49">
        <f>IF(ISBLANK(INDEX('Milestone Tracker – IHP'!$C:$C,51)),C48,INDEX('Milestone Tracker – IHP'!$C:$C,51))</f>
        <v>0</v>
      </c>
      <c r="D49">
        <f>IF(ISBLANK(INDEX('Milestone Tracker – IHP'!$D:$D,51)),D48,INDEX('Milestone Tracker – IHP'!$D:$D,51))</f>
        <v>0</v>
      </c>
      <c r="E49" t="str">
        <f>IF(ISBLANK(INDEX('Milestone Tracker – IHP'!$E:$E,51)),"",INDEX('Milestone Tracker – IHP'!$E:$E,51))</f>
        <v/>
      </c>
      <c r="F49" t="str">
        <f>IF(ISBLANK(INDEX('Milestone Tracker – IHP'!$F:$F,51)),"",INDEX('Milestone Tracker – IHP'!$F:$F,51))</f>
        <v/>
      </c>
      <c r="G49" s="18" t="e">
        <f>IF(ISBLANK(INDEX('Milestone Tracker – IHP'!#REF!,51)),"",INDEX('Milestone Tracker – IHP'!#REF!,51))</f>
        <v>#REF!</v>
      </c>
      <c r="H49" t="str">
        <f>IF(ISBLANK(INDEX('Milestone Tracker – IHP'!$G:$G,51)),"",INDEX('Milestone Tracker – IHP'!$G:$G,51))</f>
        <v/>
      </c>
      <c r="I49" t="str">
        <f>IF(ISBLANK(INDEX('Milestone Tracker – IHP'!$H:$H,51)),"",INDEX('Milestone Tracker – IHP'!$H:$H,51))</f>
        <v/>
      </c>
      <c r="J49" s="18" t="e">
        <f>IF(ISBLANK(INDEX('Milestone Tracker – IHP'!#REF!,51)),"",INDEX('Milestone Tracker – IHP'!#REF!,51))</f>
        <v>#REF!</v>
      </c>
      <c r="K49">
        <f t="shared" si="0"/>
        <v>0</v>
      </c>
      <c r="L49">
        <f t="shared" si="1"/>
        <v>0</v>
      </c>
    </row>
    <row r="50" spans="1:12" x14ac:dyDescent="0.35">
      <c r="A50">
        <v>52</v>
      </c>
      <c r="B50">
        <f>IF(ISBLANK(INDEX('Milestone Tracker – IHP'!$B:$B,52)),B49,INDEX('Milestone Tracker – IHP'!$B:$B,52))</f>
        <v>0</v>
      </c>
      <c r="C50">
        <f>IF(ISBLANK(INDEX('Milestone Tracker – IHP'!$C:$C,52)),C49,INDEX('Milestone Tracker – IHP'!$C:$C,52))</f>
        <v>0</v>
      </c>
      <c r="D50">
        <f>IF(ISBLANK(INDEX('Milestone Tracker – IHP'!$D:$D,52)),D49,INDEX('Milestone Tracker – IHP'!$D:$D,52))</f>
        <v>0</v>
      </c>
      <c r="E50" t="str">
        <f>IF(ISBLANK(INDEX('Milestone Tracker – IHP'!$E:$E,52)),"",INDEX('Milestone Tracker – IHP'!$E:$E,52))</f>
        <v/>
      </c>
      <c r="F50" t="str">
        <f>IF(ISBLANK(INDEX('Milestone Tracker – IHP'!$F:$F,52)),"",INDEX('Milestone Tracker – IHP'!$F:$F,52))</f>
        <v/>
      </c>
      <c r="G50" s="18" t="e">
        <f>IF(ISBLANK(INDEX('Milestone Tracker – IHP'!#REF!,52)),"",INDEX('Milestone Tracker – IHP'!#REF!,52))</f>
        <v>#REF!</v>
      </c>
      <c r="H50" s="19" t="str">
        <f>IF(ISBLANK(INDEX('Milestone Tracker – IHP'!$G:$G,52)),"",INDEX('Milestone Tracker – IHP'!$G:$G,52))</f>
        <v/>
      </c>
      <c r="I50" s="19" t="str">
        <f>IF(ISBLANK(INDEX('Milestone Tracker – IHP'!$H:$H,52)),"",INDEX('Milestone Tracker – IHP'!$H:$H,52))</f>
        <v/>
      </c>
      <c r="J50" s="19" t="e">
        <f>IF(ISBLANK(INDEX('Milestone Tracker – IHP'!#REF!,52)),"",INDEX('Milestone Tracker – IHP'!#REF!,52))</f>
        <v>#REF!</v>
      </c>
      <c r="K50">
        <f t="shared" si="0"/>
        <v>0</v>
      </c>
      <c r="L50">
        <f t="shared" si="1"/>
        <v>0</v>
      </c>
    </row>
    <row r="51" spans="1:12" x14ac:dyDescent="0.35">
      <c r="A51">
        <v>53</v>
      </c>
      <c r="B51">
        <f>IF(ISBLANK(INDEX('Milestone Tracker – IHP'!$B:$B,53)),B50,INDEX('Milestone Tracker – IHP'!$B:$B,53))</f>
        <v>0</v>
      </c>
      <c r="C51">
        <f>IF(ISBLANK(INDEX('Milestone Tracker – IHP'!$C:$C,53)),C50,INDEX('Milestone Tracker – IHP'!$C:$C,53))</f>
        <v>0</v>
      </c>
      <c r="D51">
        <f>IF(ISBLANK(INDEX('Milestone Tracker – IHP'!$D:$D,53)),D50,INDEX('Milestone Tracker – IHP'!$D:$D,53))</f>
        <v>0</v>
      </c>
      <c r="E51" t="str">
        <f>IF(ISBLANK(INDEX('Milestone Tracker – IHP'!$E:$E,53)),"",INDEX('Milestone Tracker – IHP'!$E:$E,53))</f>
        <v/>
      </c>
      <c r="F51" t="str">
        <f>IF(ISBLANK(INDEX('Milestone Tracker – IHP'!$F:$F,53)),"",INDEX('Milestone Tracker – IHP'!$F:$F,53))</f>
        <v/>
      </c>
      <c r="G51" s="18" t="e">
        <f>IF(ISBLANK(INDEX('Milestone Tracker – IHP'!#REF!,53)),"",INDEX('Milestone Tracker – IHP'!#REF!,53))</f>
        <v>#REF!</v>
      </c>
      <c r="H51" s="19" t="str">
        <f>IF(ISBLANK(INDEX('Milestone Tracker – IHP'!$G:$G,53)),"",INDEX('Milestone Tracker – IHP'!$G:$G,53))</f>
        <v/>
      </c>
      <c r="I51" s="19" t="str">
        <f>IF(ISBLANK(INDEX('Milestone Tracker – IHP'!$H:$H,53)),"",INDEX('Milestone Tracker – IHP'!$H:$H,53))</f>
        <v/>
      </c>
      <c r="J51" s="19" t="e">
        <f>IF(ISBLANK(INDEX('Milestone Tracker – IHP'!#REF!,53)),"",INDEX('Milestone Tracker – IHP'!#REF!,53))</f>
        <v>#REF!</v>
      </c>
      <c r="K51">
        <f t="shared" si="0"/>
        <v>0</v>
      </c>
      <c r="L51">
        <f t="shared" si="1"/>
        <v>0</v>
      </c>
    </row>
    <row r="52" spans="1:12" x14ac:dyDescent="0.35">
      <c r="A52">
        <v>54</v>
      </c>
      <c r="B52">
        <f>IF(ISBLANK(INDEX('Milestone Tracker – IHP'!$B:$B,54)),B51,INDEX('Milestone Tracker – IHP'!$B:$B,54))</f>
        <v>0</v>
      </c>
      <c r="C52">
        <f>IF(ISBLANK(INDEX('Milestone Tracker – IHP'!$C:$C,54)),C51,INDEX('Milestone Tracker – IHP'!$C:$C,54))</f>
        <v>0</v>
      </c>
      <c r="D52">
        <f>IF(ISBLANK(INDEX('Milestone Tracker – IHP'!$D:$D,54)),D51,INDEX('Milestone Tracker – IHP'!$D:$D,54))</f>
        <v>0</v>
      </c>
      <c r="E52" t="str">
        <f>IF(ISBLANK(INDEX('Milestone Tracker – IHP'!$E:$E,54)),"",INDEX('Milestone Tracker – IHP'!$E:$E,54))</f>
        <v/>
      </c>
      <c r="F52" t="str">
        <f>IF(ISBLANK(INDEX('Milestone Tracker – IHP'!$F:$F,54)),"",INDEX('Milestone Tracker – IHP'!$F:$F,54))</f>
        <v/>
      </c>
      <c r="G52" s="18" t="e">
        <f>IF(ISBLANK(INDEX('Milestone Tracker – IHP'!#REF!,54)),"",INDEX('Milestone Tracker – IHP'!#REF!,54))</f>
        <v>#REF!</v>
      </c>
      <c r="H52" s="19" t="str">
        <f>IF(ISBLANK(INDEX('Milestone Tracker – IHP'!$G:$G,54)),"",INDEX('Milestone Tracker – IHP'!$G:$G,54))</f>
        <v/>
      </c>
      <c r="I52" s="19" t="str">
        <f>IF(ISBLANK(INDEX('Milestone Tracker – IHP'!$H:$H,54)),"",INDEX('Milestone Tracker – IHP'!$H:$H,54))</f>
        <v/>
      </c>
      <c r="J52" t="e">
        <f>IF(ISBLANK(INDEX('Milestone Tracker – IHP'!#REF!,54)),"",INDEX('Milestone Tracker – IHP'!#REF!,54))</f>
        <v>#REF!</v>
      </c>
      <c r="K52">
        <f t="shared" si="0"/>
        <v>0</v>
      </c>
      <c r="L52">
        <f t="shared" si="1"/>
        <v>0</v>
      </c>
    </row>
    <row r="53" spans="1:12" x14ac:dyDescent="0.35">
      <c r="A53">
        <v>55</v>
      </c>
      <c r="B53">
        <f>IF(ISBLANK(INDEX('Milestone Tracker – IHP'!$B:$B,55)),B52,INDEX('Milestone Tracker – IHP'!$B:$B,55))</f>
        <v>0</v>
      </c>
      <c r="C53">
        <f>IF(ISBLANK(INDEX('Milestone Tracker – IHP'!$C:$C,55)),C52,INDEX('Milestone Tracker – IHP'!$C:$C,55))</f>
        <v>0</v>
      </c>
      <c r="D53">
        <f>IF(ISBLANK(INDEX('Milestone Tracker – IHP'!$D:$D,55)),D52,INDEX('Milestone Tracker – IHP'!$D:$D,55))</f>
        <v>0</v>
      </c>
      <c r="E53" t="str">
        <f>IF(ISBLANK(INDEX('Milestone Tracker – IHP'!$E:$E,55)),"",INDEX('Milestone Tracker – IHP'!$E:$E,55))</f>
        <v/>
      </c>
      <c r="F53" t="str">
        <f>IF(ISBLANK(INDEX('Milestone Tracker – IHP'!$F:$F,55)),"",INDEX('Milestone Tracker – IHP'!$F:$F,55))</f>
        <v/>
      </c>
      <c r="G53" s="18" t="e">
        <f>IF(ISBLANK(INDEX('Milestone Tracker – IHP'!#REF!,55)),"",INDEX('Milestone Tracker – IHP'!#REF!,55))</f>
        <v>#REF!</v>
      </c>
      <c r="H53" s="19" t="str">
        <f>IF(ISBLANK(INDEX('Milestone Tracker – IHP'!$G:$G,55)),"",INDEX('Milestone Tracker – IHP'!$G:$G,55))</f>
        <v/>
      </c>
      <c r="I53" t="str">
        <f>IF(ISBLANK(INDEX('Milestone Tracker – IHP'!$H:$H,55)),"",INDEX('Milestone Tracker – IHP'!$H:$H,55))</f>
        <v/>
      </c>
      <c r="J53" t="e">
        <f>IF(ISBLANK(INDEX('Milestone Tracker – IHP'!#REF!,55)),"",INDEX('Milestone Tracker – IHP'!#REF!,55))</f>
        <v>#REF!</v>
      </c>
      <c r="K53">
        <f t="shared" si="0"/>
        <v>0</v>
      </c>
      <c r="L53">
        <f t="shared" si="1"/>
        <v>0</v>
      </c>
    </row>
    <row r="54" spans="1:12" x14ac:dyDescent="0.35">
      <c r="A54">
        <v>56</v>
      </c>
      <c r="B54">
        <f>IF(ISBLANK(INDEX('Milestone Tracker – IHP'!$B:$B,56)),B53,INDEX('Milestone Tracker – IHP'!$B:$B,56))</f>
        <v>0</v>
      </c>
      <c r="C54">
        <f>IF(ISBLANK(INDEX('Milestone Tracker – IHP'!$C:$C,56)),C53,INDEX('Milestone Tracker – IHP'!$C:$C,56))</f>
        <v>0</v>
      </c>
      <c r="D54">
        <f>IF(ISBLANK(INDEX('Milestone Tracker – IHP'!$D:$D,56)),D53,INDEX('Milestone Tracker – IHP'!$D:$D,56))</f>
        <v>0</v>
      </c>
      <c r="E54" t="str">
        <f>IF(ISBLANK(INDEX('Milestone Tracker – IHP'!$E:$E,56)),"",INDEX('Milestone Tracker – IHP'!$E:$E,56))</f>
        <v/>
      </c>
      <c r="F54" t="str">
        <f>IF(ISBLANK(INDEX('Milestone Tracker – IHP'!$F:$F,56)),"",INDEX('Milestone Tracker – IHP'!$F:$F,56))</f>
        <v/>
      </c>
      <c r="G54" s="18" t="e">
        <f>IF(ISBLANK(INDEX('Milestone Tracker – IHP'!#REF!,56)),"",INDEX('Milestone Tracker – IHP'!#REF!,56))</f>
        <v>#REF!</v>
      </c>
      <c r="H54" s="19" t="str">
        <f>IF(ISBLANK(INDEX('Milestone Tracker – IHP'!$G:$G,56)),"",INDEX('Milestone Tracker – IHP'!$G:$G,56))</f>
        <v/>
      </c>
      <c r="I54" t="str">
        <f>IF(ISBLANK(INDEX('Milestone Tracker – IHP'!$H:$H,56)),"",INDEX('Milestone Tracker – IHP'!$H:$H,56))</f>
        <v/>
      </c>
      <c r="J54" t="e">
        <f>IF(ISBLANK(INDEX('Milestone Tracker – IHP'!#REF!,56)),"",INDEX('Milestone Tracker – IHP'!#REF!,56))</f>
        <v>#REF!</v>
      </c>
      <c r="K54">
        <f t="shared" si="0"/>
        <v>0</v>
      </c>
      <c r="L54">
        <f t="shared" si="1"/>
        <v>0</v>
      </c>
    </row>
    <row r="55" spans="1:12" x14ac:dyDescent="0.35">
      <c r="A55">
        <v>57</v>
      </c>
      <c r="B55">
        <f>IF(ISBLANK(INDEX('Milestone Tracker – IHP'!$B:$B,57)),B54,INDEX('Milestone Tracker – IHP'!$B:$B,57))</f>
        <v>0</v>
      </c>
      <c r="C55">
        <f>IF(ISBLANK(INDEX('Milestone Tracker – IHP'!$C:$C,57)),C54,INDEX('Milestone Tracker – IHP'!$C:$C,57))</f>
        <v>0</v>
      </c>
      <c r="D55">
        <f>IF(ISBLANK(INDEX('Milestone Tracker – IHP'!$D:$D,57)),D54,INDEX('Milestone Tracker – IHP'!$D:$D,57))</f>
        <v>0</v>
      </c>
      <c r="E55" t="str">
        <f>IF(ISBLANK(INDEX('Milestone Tracker – IHP'!$E:$E,57)),"",INDEX('Milestone Tracker – IHP'!$E:$E,57))</f>
        <v/>
      </c>
      <c r="F55" t="str">
        <f>IF(ISBLANK(INDEX('Milestone Tracker – IHP'!$F:$F,57)),"",INDEX('Milestone Tracker – IHP'!$F:$F,57))</f>
        <v/>
      </c>
      <c r="G55" s="18" t="e">
        <f>IF(ISBLANK(INDEX('Milestone Tracker – IHP'!#REF!,57)),"",INDEX('Milestone Tracker – IHP'!#REF!,57))</f>
        <v>#REF!</v>
      </c>
      <c r="H55" s="19" t="str">
        <f>IF(ISBLANK(INDEX('Milestone Tracker – IHP'!$G:$G,57)),"",INDEX('Milestone Tracker – IHP'!$G:$G,57))</f>
        <v/>
      </c>
      <c r="I55" t="str">
        <f>IF(ISBLANK(INDEX('Milestone Tracker – IHP'!$H:$H,57)),"",INDEX('Milestone Tracker – IHP'!$H:$H,57))</f>
        <v/>
      </c>
      <c r="J55" t="e">
        <f>IF(ISBLANK(INDEX('Milestone Tracker – IHP'!#REF!,57)),"",INDEX('Milestone Tracker – IHP'!#REF!,57))</f>
        <v>#REF!</v>
      </c>
      <c r="K55">
        <f t="shared" si="0"/>
        <v>0</v>
      </c>
      <c r="L55">
        <f t="shared" si="1"/>
        <v>0</v>
      </c>
    </row>
    <row r="56" spans="1:12" x14ac:dyDescent="0.35">
      <c r="A56">
        <v>58</v>
      </c>
      <c r="B56">
        <f>IF(ISBLANK(INDEX('Milestone Tracker – IHP'!$B:$B,58)),B55,INDEX('Milestone Tracker – IHP'!$B:$B,58))</f>
        <v>0</v>
      </c>
      <c r="C56">
        <f>IF(ISBLANK(INDEX('Milestone Tracker – IHP'!$C:$C,58)),C55,INDEX('Milestone Tracker – IHP'!$C:$C,58))</f>
        <v>0</v>
      </c>
      <c r="D56">
        <f>IF(ISBLANK(INDEX('Milestone Tracker – IHP'!$D:$D,58)),D55,INDEX('Milestone Tracker – IHP'!$D:$D,58))</f>
        <v>0</v>
      </c>
      <c r="E56" t="str">
        <f>IF(ISBLANK(INDEX('Milestone Tracker – IHP'!$E:$E,58)),"",INDEX('Milestone Tracker – IHP'!$E:$E,58))</f>
        <v/>
      </c>
      <c r="F56" t="str">
        <f>IF(ISBLANK(INDEX('Milestone Tracker – IHP'!$F:$F,58)),"",INDEX('Milestone Tracker – IHP'!$F:$F,58))</f>
        <v/>
      </c>
      <c r="G56" s="18" t="e">
        <f>IF(ISBLANK(INDEX('Milestone Tracker – IHP'!#REF!,58)),"",INDEX('Milestone Tracker – IHP'!#REF!,58))</f>
        <v>#REF!</v>
      </c>
      <c r="H56" s="19" t="str">
        <f>IF(ISBLANK(INDEX('Milestone Tracker – IHP'!$G:$G,58)),"",INDEX('Milestone Tracker – IHP'!$G:$G,58))</f>
        <v/>
      </c>
      <c r="I56" t="str">
        <f>IF(ISBLANK(INDEX('Milestone Tracker – IHP'!$H:$H,58)),"",INDEX('Milestone Tracker – IHP'!$H:$H,58))</f>
        <v/>
      </c>
      <c r="J56" t="e">
        <f>IF(ISBLANK(INDEX('Milestone Tracker – IHP'!#REF!,58)),"",INDEX('Milestone Tracker – IHP'!#REF!,58))</f>
        <v>#REF!</v>
      </c>
      <c r="K56">
        <f t="shared" si="0"/>
        <v>0</v>
      </c>
      <c r="L56">
        <f t="shared" si="1"/>
        <v>0</v>
      </c>
    </row>
    <row r="57" spans="1:12" x14ac:dyDescent="0.35">
      <c r="A57">
        <v>59</v>
      </c>
      <c r="B57">
        <f>IF(ISBLANK(INDEX('Milestone Tracker – IHP'!$B:$B,59)),B56,INDEX('Milestone Tracker – IHP'!$B:$B,59))</f>
        <v>0</v>
      </c>
      <c r="C57">
        <f>IF(ISBLANK(INDEX('Milestone Tracker – IHP'!$C:$C,59)),C56,INDEX('Milestone Tracker – IHP'!$C:$C,59))</f>
        <v>0</v>
      </c>
      <c r="D57">
        <f>IF(ISBLANK(INDEX('Milestone Tracker – IHP'!$D:$D,59)),D56,INDEX('Milestone Tracker – IHP'!$D:$D,59))</f>
        <v>0</v>
      </c>
      <c r="E57" t="str">
        <f>IF(ISBLANK(INDEX('Milestone Tracker – IHP'!$E:$E,59)),"",INDEX('Milestone Tracker – IHP'!$E:$E,59))</f>
        <v/>
      </c>
      <c r="F57" t="str">
        <f>IF(ISBLANK(INDEX('Milestone Tracker – IHP'!$F:$F,59)),"",INDEX('Milestone Tracker – IHP'!$F:$F,59))</f>
        <v/>
      </c>
      <c r="G57" s="18" t="e">
        <f>IF(ISBLANK(INDEX('Milestone Tracker – IHP'!#REF!,59)),"",INDEX('Milestone Tracker – IHP'!#REF!,59))</f>
        <v>#REF!</v>
      </c>
      <c r="H57" s="19" t="str">
        <f>IF(ISBLANK(INDEX('Milestone Tracker – IHP'!$G:$G,59)),"",INDEX('Milestone Tracker – IHP'!$G:$G,59))</f>
        <v/>
      </c>
      <c r="I57" t="str">
        <f>IF(ISBLANK(INDEX('Milestone Tracker – IHP'!$H:$H,59)),"",INDEX('Milestone Tracker – IHP'!$H:$H,59))</f>
        <v/>
      </c>
      <c r="J57" t="e">
        <f>IF(ISBLANK(INDEX('Milestone Tracker – IHP'!#REF!,59)),"",INDEX('Milestone Tracker – IHP'!#REF!,59))</f>
        <v>#REF!</v>
      </c>
      <c r="K57">
        <f t="shared" si="0"/>
        <v>0</v>
      </c>
      <c r="L57">
        <f t="shared" si="1"/>
        <v>0</v>
      </c>
    </row>
    <row r="58" spans="1:12" x14ac:dyDescent="0.35">
      <c r="A58">
        <v>60</v>
      </c>
      <c r="B58">
        <f>IF(ISBLANK(INDEX('Milestone Tracker – IHP'!$B:$B,60)),B57,INDEX('Milestone Tracker – IHP'!$B:$B,60))</f>
        <v>0</v>
      </c>
      <c r="C58">
        <f>IF(ISBLANK(INDEX('Milestone Tracker – IHP'!$C:$C,60)),C57,INDEX('Milestone Tracker – IHP'!$C:$C,60))</f>
        <v>0</v>
      </c>
      <c r="D58">
        <f>IF(ISBLANK(INDEX('Milestone Tracker – IHP'!$D:$D,60)),D57,INDEX('Milestone Tracker – IHP'!$D:$D,60))</f>
        <v>0</v>
      </c>
      <c r="E58" t="str">
        <f>IF(ISBLANK(INDEX('Milestone Tracker – IHP'!$E:$E,60)),"",INDEX('Milestone Tracker – IHP'!$E:$E,60))</f>
        <v/>
      </c>
      <c r="F58" t="str">
        <f>IF(ISBLANK(INDEX('Milestone Tracker – IHP'!$F:$F,60)),"",INDEX('Milestone Tracker – IHP'!$F:$F,60))</f>
        <v/>
      </c>
      <c r="G58" s="18" t="e">
        <f>IF(ISBLANK(INDEX('Milestone Tracker – IHP'!#REF!,60)),"",INDEX('Milestone Tracker – IHP'!#REF!,60))</f>
        <v>#REF!</v>
      </c>
      <c r="H58" s="19" t="str">
        <f>IF(ISBLANK(INDEX('Milestone Tracker – IHP'!$G:$G,60)),"",INDEX('Milestone Tracker – IHP'!$G:$G,60))</f>
        <v/>
      </c>
      <c r="I58" t="str">
        <f>IF(ISBLANK(INDEX('Milestone Tracker – IHP'!$H:$H,60)),"",INDEX('Milestone Tracker – IHP'!$H:$H,60))</f>
        <v/>
      </c>
      <c r="J58" t="e">
        <f>IF(ISBLANK(INDEX('Milestone Tracker – IHP'!#REF!,60)),"",INDEX('Milestone Tracker – IHP'!#REF!,60))</f>
        <v>#REF!</v>
      </c>
      <c r="K58">
        <f t="shared" si="0"/>
        <v>0</v>
      </c>
      <c r="L58">
        <f t="shared" si="1"/>
        <v>0</v>
      </c>
    </row>
    <row r="59" spans="1:12" x14ac:dyDescent="0.35">
      <c r="A59">
        <v>61</v>
      </c>
      <c r="B59">
        <f>IF(ISBLANK(INDEX('Milestone Tracker – IHP'!$B:$B,61)),B58,INDEX('Milestone Tracker – IHP'!$B:$B,61))</f>
        <v>0</v>
      </c>
      <c r="C59">
        <f>IF(ISBLANK(INDEX('Milestone Tracker – IHP'!$C:$C,61)),C58,INDEX('Milestone Tracker – IHP'!$C:$C,61))</f>
        <v>0</v>
      </c>
      <c r="D59">
        <f>IF(ISBLANK(INDEX('Milestone Tracker – IHP'!$D:$D,61)),D58,INDEX('Milestone Tracker – IHP'!$D:$D,61))</f>
        <v>0</v>
      </c>
      <c r="E59" t="str">
        <f>IF(ISBLANK(INDEX('Milestone Tracker – IHP'!$E:$E,61)),"",INDEX('Milestone Tracker – IHP'!$E:$E,61))</f>
        <v/>
      </c>
      <c r="F59" t="str">
        <f>IF(ISBLANK(INDEX('Milestone Tracker – IHP'!$F:$F,61)),"",INDEX('Milestone Tracker – IHP'!$F:$F,61))</f>
        <v/>
      </c>
      <c r="G59" s="18" t="e">
        <f>IF(ISBLANK(INDEX('Milestone Tracker – IHP'!#REF!,61)),"",INDEX('Milestone Tracker – IHP'!#REF!,61))</f>
        <v>#REF!</v>
      </c>
      <c r="H59" t="str">
        <f>IF(ISBLANK(INDEX('Milestone Tracker – IHP'!$G:$G,61)),"",INDEX('Milestone Tracker – IHP'!$G:$G,61))</f>
        <v/>
      </c>
      <c r="I59" t="str">
        <f>IF(ISBLANK(INDEX('Milestone Tracker – IHP'!$H:$H,61)),"",INDEX('Milestone Tracker – IHP'!$H:$H,61))</f>
        <v/>
      </c>
      <c r="J59" t="e">
        <f>IF(ISBLANK(INDEX('Milestone Tracker – IHP'!#REF!,61)),"",INDEX('Milestone Tracker – IHP'!#REF!,61))</f>
        <v>#REF!</v>
      </c>
      <c r="K59">
        <f t="shared" si="0"/>
        <v>0</v>
      </c>
      <c r="L59">
        <f t="shared" si="1"/>
        <v>0</v>
      </c>
    </row>
    <row r="60" spans="1:12" x14ac:dyDescent="0.35">
      <c r="A60">
        <v>62</v>
      </c>
      <c r="B60">
        <f>IF(ISBLANK(INDEX('Milestone Tracker – IHP'!$B:$B,62)),B59,INDEX('Milestone Tracker – IHP'!$B:$B,62))</f>
        <v>0</v>
      </c>
      <c r="C60">
        <f>IF(ISBLANK(INDEX('Milestone Tracker – IHP'!$C:$C,62)),C59,INDEX('Milestone Tracker – IHP'!$C:$C,62))</f>
        <v>0</v>
      </c>
      <c r="D60">
        <f>IF(ISBLANK(INDEX('Milestone Tracker – IHP'!$D:$D,62)),D59,INDEX('Milestone Tracker – IHP'!$D:$D,62))</f>
        <v>0</v>
      </c>
      <c r="E60" t="str">
        <f>IF(ISBLANK(INDEX('Milestone Tracker – IHP'!$E:$E,62)),"",INDEX('Milestone Tracker – IHP'!$E:$E,62))</f>
        <v/>
      </c>
      <c r="F60" t="str">
        <f>IF(ISBLANK(INDEX('Milestone Tracker – IHP'!$F:$F,62)),"",INDEX('Milestone Tracker – IHP'!$F:$F,62))</f>
        <v/>
      </c>
      <c r="G60" s="18" t="e">
        <f>IF(ISBLANK(INDEX('Milestone Tracker – IHP'!#REF!,62)),"",INDEX('Milestone Tracker – IHP'!#REF!,62))</f>
        <v>#REF!</v>
      </c>
      <c r="H60" t="str">
        <f>IF(ISBLANK(INDEX('Milestone Tracker – IHP'!$G:$G,62)),"",INDEX('Milestone Tracker – IHP'!$G:$G,62))</f>
        <v/>
      </c>
      <c r="I60" t="str">
        <f>IF(ISBLANK(INDEX('Milestone Tracker – IHP'!$H:$H,62)),"",INDEX('Milestone Tracker – IHP'!$H:$H,62))</f>
        <v/>
      </c>
      <c r="J60" s="18" t="e">
        <f>IF(ISBLANK(INDEX('Milestone Tracker – IHP'!#REF!,62)),"",INDEX('Milestone Tracker – IHP'!#REF!,62))</f>
        <v>#REF!</v>
      </c>
      <c r="K60">
        <f t="shared" si="0"/>
        <v>0</v>
      </c>
      <c r="L60">
        <f t="shared" si="1"/>
        <v>0</v>
      </c>
    </row>
    <row r="61" spans="1:12" x14ac:dyDescent="0.35">
      <c r="A61">
        <v>63</v>
      </c>
      <c r="B61">
        <f>IF(ISBLANK(INDEX('Milestone Tracker – IHP'!$B:$B,63)),B60,INDEX('Milestone Tracker – IHP'!$B:$B,63))</f>
        <v>0</v>
      </c>
      <c r="C61">
        <f>IF(ISBLANK(INDEX('Milestone Tracker – IHP'!$C:$C,63)),C60,INDEX('Milestone Tracker – IHP'!$C:$C,63))</f>
        <v>0</v>
      </c>
      <c r="D61">
        <f>IF(ISBLANK(INDEX('Milestone Tracker – IHP'!$D:$D,63)),D60,INDEX('Milestone Tracker – IHP'!$D:$D,63))</f>
        <v>0</v>
      </c>
      <c r="E61" t="str">
        <f>IF(ISBLANK(INDEX('Milestone Tracker – IHP'!$E:$E,63)),"",INDEX('Milestone Tracker – IHP'!$E:$E,63))</f>
        <v/>
      </c>
      <c r="F61" t="str">
        <f>IF(ISBLANK(INDEX('Milestone Tracker – IHP'!$F:$F,63)),"",INDEX('Milestone Tracker – IHP'!$F:$F,63))</f>
        <v/>
      </c>
      <c r="G61" s="18" t="e">
        <f>IF(ISBLANK(INDEX('Milestone Tracker – IHP'!#REF!,63)),"",INDEX('Milestone Tracker – IHP'!#REF!,63))</f>
        <v>#REF!</v>
      </c>
      <c r="H61" s="19" t="str">
        <f>IF(ISBLANK(INDEX('Milestone Tracker – IHP'!$G:$G,63)),"",INDEX('Milestone Tracker – IHP'!$G:$G,63))</f>
        <v/>
      </c>
      <c r="I61" s="19" t="str">
        <f>IF(ISBLANK(INDEX('Milestone Tracker – IHP'!$H:$H,63)),"",INDEX('Milestone Tracker – IHP'!$H:$H,63))</f>
        <v/>
      </c>
      <c r="J61" s="19" t="e">
        <f>IF(ISBLANK(INDEX('Milestone Tracker – IHP'!#REF!,63)),"",INDEX('Milestone Tracker – IHP'!#REF!,63))</f>
        <v>#REF!</v>
      </c>
      <c r="K61">
        <f t="shared" si="0"/>
        <v>0</v>
      </c>
      <c r="L61">
        <f t="shared" si="1"/>
        <v>0</v>
      </c>
    </row>
    <row r="62" spans="1:12" x14ac:dyDescent="0.35">
      <c r="A62">
        <v>64</v>
      </c>
      <c r="B62">
        <f>IF(ISBLANK(INDEX('Milestone Tracker – IHP'!$B:$B,64)),B61,INDEX('Milestone Tracker – IHP'!$B:$B,64))</f>
        <v>0</v>
      </c>
      <c r="C62">
        <f>IF(ISBLANK(INDEX('Milestone Tracker – IHP'!$C:$C,64)),C61,INDEX('Milestone Tracker – IHP'!$C:$C,64))</f>
        <v>0</v>
      </c>
      <c r="D62">
        <f>IF(ISBLANK(INDEX('Milestone Tracker – IHP'!$D:$D,64)),D61,INDEX('Milestone Tracker – IHP'!$D:$D,64))</f>
        <v>0</v>
      </c>
      <c r="E62" t="str">
        <f>IF(ISBLANK(INDEX('Milestone Tracker – IHP'!$E:$E,64)),"",INDEX('Milestone Tracker – IHP'!$E:$E,64))</f>
        <v/>
      </c>
      <c r="F62" t="str">
        <f>IF(ISBLANK(INDEX('Milestone Tracker – IHP'!$F:$F,64)),"",INDEX('Milestone Tracker – IHP'!$F:$F,64))</f>
        <v/>
      </c>
      <c r="G62" s="18" t="e">
        <f>IF(ISBLANK(INDEX('Milestone Tracker – IHP'!#REF!,64)),"",INDEX('Milestone Tracker – IHP'!#REF!,64))</f>
        <v>#REF!</v>
      </c>
      <c r="H62" s="19" t="str">
        <f>IF(ISBLANK(INDEX('Milestone Tracker – IHP'!$G:$G,64)),"",INDEX('Milestone Tracker – IHP'!$G:$G,64))</f>
        <v/>
      </c>
      <c r="I62" s="19" t="str">
        <f>IF(ISBLANK(INDEX('Milestone Tracker – IHP'!$H:$H,64)),"",INDEX('Milestone Tracker – IHP'!$H:$H,64))</f>
        <v/>
      </c>
      <c r="J62" s="19" t="e">
        <f>IF(ISBLANK(INDEX('Milestone Tracker – IHP'!#REF!,64)),"",INDEX('Milestone Tracker – IHP'!#REF!,64))</f>
        <v>#REF!</v>
      </c>
      <c r="K62">
        <f t="shared" si="0"/>
        <v>0</v>
      </c>
      <c r="L62">
        <f t="shared" si="1"/>
        <v>0</v>
      </c>
    </row>
    <row r="63" spans="1:12" x14ac:dyDescent="0.35">
      <c r="A63">
        <v>65</v>
      </c>
      <c r="B63">
        <f>IF(ISBLANK(INDEX('Milestone Tracker – IHP'!$B:$B,65)),B62,INDEX('Milestone Tracker – IHP'!$B:$B,65))</f>
        <v>0</v>
      </c>
      <c r="C63">
        <f>IF(ISBLANK(INDEX('Milestone Tracker – IHP'!$C:$C,65)),C62,INDEX('Milestone Tracker – IHP'!$C:$C,65))</f>
        <v>0</v>
      </c>
      <c r="D63">
        <f>IF(ISBLANK(INDEX('Milestone Tracker – IHP'!$D:$D,65)),D62,INDEX('Milestone Tracker – IHP'!$D:$D,65))</f>
        <v>0</v>
      </c>
      <c r="E63" t="str">
        <f>IF(ISBLANK(INDEX('Milestone Tracker – IHP'!$E:$E,65)),"",INDEX('Milestone Tracker – IHP'!$E:$E,65))</f>
        <v/>
      </c>
      <c r="F63" t="str">
        <f>IF(ISBLANK(INDEX('Milestone Tracker – IHP'!$F:$F,65)),"",INDEX('Milestone Tracker – IHP'!$F:$F,65))</f>
        <v/>
      </c>
      <c r="G63" s="18" t="e">
        <f>IF(ISBLANK(INDEX('Milestone Tracker – IHP'!#REF!,65)),"",INDEX('Milestone Tracker – IHP'!#REF!,65))</f>
        <v>#REF!</v>
      </c>
      <c r="H63" s="19" t="str">
        <f>IF(ISBLANK(INDEX('Milestone Tracker – IHP'!$G:$G,65)),"",INDEX('Milestone Tracker – IHP'!$G:$G,65))</f>
        <v/>
      </c>
      <c r="I63" s="19" t="str">
        <f>IF(ISBLANK(INDEX('Milestone Tracker – IHP'!$H:$H,65)),"",INDEX('Milestone Tracker – IHP'!$H:$H,65))</f>
        <v/>
      </c>
      <c r="J63" s="19" t="e">
        <f>IF(ISBLANK(INDEX('Milestone Tracker – IHP'!#REF!,65)),"",INDEX('Milestone Tracker – IHP'!#REF!,65))</f>
        <v>#REF!</v>
      </c>
      <c r="K63">
        <f t="shared" si="0"/>
        <v>0</v>
      </c>
      <c r="L63">
        <f t="shared" si="1"/>
        <v>0</v>
      </c>
    </row>
    <row r="64" spans="1:12" x14ac:dyDescent="0.35">
      <c r="A64">
        <v>66</v>
      </c>
      <c r="B64">
        <f>IF(ISBLANK(INDEX('Milestone Tracker – IHP'!$B:$B,66)),B63,INDEX('Milestone Tracker – IHP'!$B:$B,66))</f>
        <v>0</v>
      </c>
      <c r="C64">
        <f>IF(ISBLANK(INDEX('Milestone Tracker – IHP'!$C:$C,66)),C63,INDEX('Milestone Tracker – IHP'!$C:$C,66))</f>
        <v>0</v>
      </c>
      <c r="D64">
        <f>IF(ISBLANK(INDEX('Milestone Tracker – IHP'!$D:$D,66)),D63,INDEX('Milestone Tracker – IHP'!$D:$D,66))</f>
        <v>0</v>
      </c>
      <c r="E64" t="str">
        <f>IF(ISBLANK(INDEX('Milestone Tracker – IHP'!$E:$E,66)),"",INDEX('Milestone Tracker – IHP'!$E:$E,66))</f>
        <v/>
      </c>
      <c r="F64" t="str">
        <f>IF(ISBLANK(INDEX('Milestone Tracker – IHP'!$F:$F,66)),"",INDEX('Milestone Tracker – IHP'!$F:$F,66))</f>
        <v/>
      </c>
      <c r="G64" s="18" t="e">
        <f>IF(ISBLANK(INDEX('Milestone Tracker – IHP'!#REF!,66)),"",INDEX('Milestone Tracker – IHP'!#REF!,66))</f>
        <v>#REF!</v>
      </c>
      <c r="H64" s="19" t="str">
        <f>IF(ISBLANK(INDEX('Milestone Tracker – IHP'!$G:$G,66)),"",INDEX('Milestone Tracker – IHP'!$G:$G,66))</f>
        <v/>
      </c>
      <c r="I64" t="str">
        <f>IF(ISBLANK(INDEX('Milestone Tracker – IHP'!$H:$H,66)),"",INDEX('Milestone Tracker – IHP'!$H:$H,66))</f>
        <v/>
      </c>
      <c r="J64" t="e">
        <f>IF(ISBLANK(INDEX('Milestone Tracker – IHP'!#REF!,66)),"",INDEX('Milestone Tracker – IHP'!#REF!,66))</f>
        <v>#REF!</v>
      </c>
      <c r="K64">
        <f t="shared" si="0"/>
        <v>0</v>
      </c>
      <c r="L64">
        <f t="shared" si="1"/>
        <v>0</v>
      </c>
    </row>
    <row r="65" spans="1:12" x14ac:dyDescent="0.35">
      <c r="A65">
        <v>67</v>
      </c>
      <c r="B65">
        <f>IF(ISBLANK(INDEX('Milestone Tracker – IHP'!$B:$B,67)),B64,INDEX('Milestone Tracker – IHP'!$B:$B,67))</f>
        <v>0</v>
      </c>
      <c r="C65">
        <f>IF(ISBLANK(INDEX('Milestone Tracker – IHP'!$C:$C,67)),C64,INDEX('Milestone Tracker – IHP'!$C:$C,67))</f>
        <v>0</v>
      </c>
      <c r="D65">
        <f>IF(ISBLANK(INDEX('Milestone Tracker – IHP'!$D:$D,67)),D64,INDEX('Milestone Tracker – IHP'!$D:$D,67))</f>
        <v>0</v>
      </c>
      <c r="E65" t="str">
        <f>IF(ISBLANK(INDEX('Milestone Tracker – IHP'!$E:$E,67)),"",INDEX('Milestone Tracker – IHP'!$E:$E,67))</f>
        <v/>
      </c>
      <c r="F65" t="str">
        <f>IF(ISBLANK(INDEX('Milestone Tracker – IHP'!$F:$F,67)),"",INDEX('Milestone Tracker – IHP'!$F:$F,67))</f>
        <v/>
      </c>
      <c r="G65" s="18" t="e">
        <f>IF(ISBLANK(INDEX('Milestone Tracker – IHP'!#REF!,67)),"",INDEX('Milestone Tracker – IHP'!#REF!,67))</f>
        <v>#REF!</v>
      </c>
      <c r="H65" s="19" t="str">
        <f>IF(ISBLANK(INDEX('Milestone Tracker – IHP'!$G:$G,67)),"",INDEX('Milestone Tracker – IHP'!$G:$G,67))</f>
        <v/>
      </c>
      <c r="I65" t="str">
        <f>IF(ISBLANK(INDEX('Milestone Tracker – IHP'!$H:$H,67)),"",INDEX('Milestone Tracker – IHP'!$H:$H,67))</f>
        <v/>
      </c>
      <c r="J65" t="e">
        <f>IF(ISBLANK(INDEX('Milestone Tracker – IHP'!#REF!,67)),"",INDEX('Milestone Tracker – IHP'!#REF!,67))</f>
        <v>#REF!</v>
      </c>
      <c r="K65">
        <f t="shared" si="0"/>
        <v>0</v>
      </c>
      <c r="L65">
        <f t="shared" si="1"/>
        <v>0</v>
      </c>
    </row>
    <row r="66" spans="1:12" x14ac:dyDescent="0.35">
      <c r="A66">
        <v>68</v>
      </c>
      <c r="B66">
        <f>IF(ISBLANK(INDEX('Milestone Tracker – IHP'!$B:$B,68)),B65,INDEX('Milestone Tracker – IHP'!$B:$B,68))</f>
        <v>0</v>
      </c>
      <c r="C66">
        <f>IF(ISBLANK(INDEX('Milestone Tracker – IHP'!$C:$C,68)),C65,INDEX('Milestone Tracker – IHP'!$C:$C,68))</f>
        <v>0</v>
      </c>
      <c r="D66">
        <f>IF(ISBLANK(INDEX('Milestone Tracker – IHP'!$D:$D,68)),D65,INDEX('Milestone Tracker – IHP'!$D:$D,68))</f>
        <v>0</v>
      </c>
      <c r="E66" t="str">
        <f>IF(ISBLANK(INDEX('Milestone Tracker – IHP'!$E:$E,68)),"",INDEX('Milestone Tracker – IHP'!$E:$E,68))</f>
        <v/>
      </c>
      <c r="F66" t="str">
        <f>IF(ISBLANK(INDEX('Milestone Tracker – IHP'!$F:$F,68)),"",INDEX('Milestone Tracker – IHP'!$F:$F,68))</f>
        <v/>
      </c>
      <c r="G66" s="18" t="e">
        <f>IF(ISBLANK(INDEX('Milestone Tracker – IHP'!#REF!,68)),"",INDEX('Milestone Tracker – IHP'!#REF!,68))</f>
        <v>#REF!</v>
      </c>
      <c r="H66" s="19" t="str">
        <f>IF(ISBLANK(INDEX('Milestone Tracker – IHP'!$G:$G,68)),"",INDEX('Milestone Tracker – IHP'!$G:$G,68))</f>
        <v/>
      </c>
      <c r="I66" t="str">
        <f>IF(ISBLANK(INDEX('Milestone Tracker – IHP'!$H:$H,68)),"",INDEX('Milestone Tracker – IHP'!$H:$H,68))</f>
        <v/>
      </c>
      <c r="J66" t="e">
        <f>IF(ISBLANK(INDEX('Milestone Tracker – IHP'!#REF!,68)),"",INDEX('Milestone Tracker – IHP'!#REF!,68))</f>
        <v>#REF!</v>
      </c>
      <c r="K66">
        <f t="shared" ref="K66:K129" si="2">IF(LEFT($E66,9)="Milestone",1,0)</f>
        <v>0</v>
      </c>
      <c r="L66">
        <f t="shared" ref="L66:L129" si="3">L65+K66</f>
        <v>0</v>
      </c>
    </row>
    <row r="67" spans="1:12" x14ac:dyDescent="0.35">
      <c r="A67">
        <v>69</v>
      </c>
      <c r="B67">
        <f>IF(ISBLANK(INDEX('Milestone Tracker – IHP'!$B:$B,69)),B66,INDEX('Milestone Tracker – IHP'!$B:$B,69))</f>
        <v>0</v>
      </c>
      <c r="C67">
        <f>IF(ISBLANK(INDEX('Milestone Tracker – IHP'!$C:$C,69)),C66,INDEX('Milestone Tracker – IHP'!$C:$C,69))</f>
        <v>0</v>
      </c>
      <c r="D67">
        <f>IF(ISBLANK(INDEX('Milestone Tracker – IHP'!$D:$D,69)),D66,INDEX('Milestone Tracker – IHP'!$D:$D,69))</f>
        <v>0</v>
      </c>
      <c r="E67" t="str">
        <f>IF(ISBLANK(INDEX('Milestone Tracker – IHP'!$E:$E,69)),"",INDEX('Milestone Tracker – IHP'!$E:$E,69))</f>
        <v/>
      </c>
      <c r="F67" t="str">
        <f>IF(ISBLANK(INDEX('Milestone Tracker – IHP'!$F:$F,69)),"",INDEX('Milestone Tracker – IHP'!$F:$F,69))</f>
        <v/>
      </c>
      <c r="G67" s="18" t="e">
        <f>IF(ISBLANK(INDEX('Milestone Tracker – IHP'!#REF!,69)),"",INDEX('Milestone Tracker – IHP'!#REF!,69))</f>
        <v>#REF!</v>
      </c>
      <c r="H67" s="19" t="str">
        <f>IF(ISBLANK(INDEX('Milestone Tracker – IHP'!$G:$G,69)),"",INDEX('Milestone Tracker – IHP'!$G:$G,69))</f>
        <v/>
      </c>
      <c r="I67" t="str">
        <f>IF(ISBLANK(INDEX('Milestone Tracker – IHP'!$H:$H,69)),"",INDEX('Milestone Tracker – IHP'!$H:$H,69))</f>
        <v/>
      </c>
      <c r="J67" t="e">
        <f>IF(ISBLANK(INDEX('Milestone Tracker – IHP'!#REF!,69)),"",INDEX('Milestone Tracker – IHP'!#REF!,69))</f>
        <v>#REF!</v>
      </c>
      <c r="K67">
        <f t="shared" si="2"/>
        <v>0</v>
      </c>
      <c r="L67">
        <f t="shared" si="3"/>
        <v>0</v>
      </c>
    </row>
    <row r="68" spans="1:12" x14ac:dyDescent="0.35">
      <c r="A68">
        <v>70</v>
      </c>
      <c r="B68">
        <f>IF(ISBLANK(INDEX('Milestone Tracker – IHP'!$B:$B,70)),B67,INDEX('Milestone Tracker – IHP'!$B:$B,70))</f>
        <v>0</v>
      </c>
      <c r="C68">
        <f>IF(ISBLANK(INDEX('Milestone Tracker – IHP'!$C:$C,70)),C67,INDEX('Milestone Tracker – IHP'!$C:$C,70))</f>
        <v>0</v>
      </c>
      <c r="D68">
        <f>IF(ISBLANK(INDEX('Milestone Tracker – IHP'!$D:$D,70)),D67,INDEX('Milestone Tracker – IHP'!$D:$D,70))</f>
        <v>0</v>
      </c>
      <c r="E68" t="str">
        <f>IF(ISBLANK(INDEX('Milestone Tracker – IHP'!$E:$E,70)),"",INDEX('Milestone Tracker – IHP'!$E:$E,70))</f>
        <v/>
      </c>
      <c r="F68" t="str">
        <f>IF(ISBLANK(INDEX('Milestone Tracker – IHP'!$F:$F,70)),"",INDEX('Milestone Tracker – IHP'!$F:$F,70))</f>
        <v/>
      </c>
      <c r="G68" s="18" t="e">
        <f>IF(ISBLANK(INDEX('Milestone Tracker – IHP'!#REF!,70)),"",INDEX('Milestone Tracker – IHP'!#REF!,70))</f>
        <v>#REF!</v>
      </c>
      <c r="H68" s="19" t="str">
        <f>IF(ISBLANK(INDEX('Milestone Tracker – IHP'!$G:$G,70)),"",INDEX('Milestone Tracker – IHP'!$G:$G,70))</f>
        <v/>
      </c>
      <c r="I68" t="str">
        <f>IF(ISBLANK(INDEX('Milestone Tracker – IHP'!$H:$H,70)),"",INDEX('Milestone Tracker – IHP'!$H:$H,70))</f>
        <v/>
      </c>
      <c r="J68" t="e">
        <f>IF(ISBLANK(INDEX('Milestone Tracker – IHP'!#REF!,70)),"",INDEX('Milestone Tracker – IHP'!#REF!,70))</f>
        <v>#REF!</v>
      </c>
      <c r="K68">
        <f t="shared" si="2"/>
        <v>0</v>
      </c>
      <c r="L68">
        <f t="shared" si="3"/>
        <v>0</v>
      </c>
    </row>
    <row r="69" spans="1:12" x14ac:dyDescent="0.35">
      <c r="A69">
        <v>71</v>
      </c>
      <c r="B69">
        <f>IF(ISBLANK(INDEX('Milestone Tracker – IHP'!$B:$B,71)),B68,INDEX('Milestone Tracker – IHP'!$B:$B,71))</f>
        <v>0</v>
      </c>
      <c r="C69">
        <f>IF(ISBLANK(INDEX('Milestone Tracker – IHP'!$C:$C,71)),C68,INDEX('Milestone Tracker – IHP'!$C:$C,71))</f>
        <v>0</v>
      </c>
      <c r="D69">
        <f>IF(ISBLANK(INDEX('Milestone Tracker – IHP'!$D:$D,71)),D68,INDEX('Milestone Tracker – IHP'!$D:$D,71))</f>
        <v>0</v>
      </c>
      <c r="E69" t="str">
        <f>IF(ISBLANK(INDEX('Milestone Tracker – IHP'!$E:$E,71)),"",INDEX('Milestone Tracker – IHP'!$E:$E,71))</f>
        <v/>
      </c>
      <c r="F69" t="str">
        <f>IF(ISBLANK(INDEX('Milestone Tracker – IHP'!$F:$F,71)),"",INDEX('Milestone Tracker – IHP'!$F:$F,71))</f>
        <v/>
      </c>
      <c r="G69" s="18" t="e">
        <f>IF(ISBLANK(INDEX('Milestone Tracker – IHP'!#REF!,71)),"",INDEX('Milestone Tracker – IHP'!#REF!,71))</f>
        <v>#REF!</v>
      </c>
      <c r="H69" s="19" t="str">
        <f>IF(ISBLANK(INDEX('Milestone Tracker – IHP'!$G:$G,71)),"",INDEX('Milestone Tracker – IHP'!$G:$G,71))</f>
        <v/>
      </c>
      <c r="I69" t="str">
        <f>IF(ISBLANK(INDEX('Milestone Tracker – IHP'!$H:$H,71)),"",INDEX('Milestone Tracker – IHP'!$H:$H,71))</f>
        <v/>
      </c>
      <c r="J69" t="e">
        <f>IF(ISBLANK(INDEX('Milestone Tracker – IHP'!#REF!,71)),"",INDEX('Milestone Tracker – IHP'!#REF!,71))</f>
        <v>#REF!</v>
      </c>
      <c r="K69">
        <f t="shared" si="2"/>
        <v>0</v>
      </c>
      <c r="L69">
        <f t="shared" si="3"/>
        <v>0</v>
      </c>
    </row>
    <row r="70" spans="1:12" x14ac:dyDescent="0.35">
      <c r="A70">
        <v>72</v>
      </c>
      <c r="B70">
        <f>IF(ISBLANK(INDEX('Milestone Tracker – IHP'!$B:$B,72)),B69,INDEX('Milestone Tracker – IHP'!$B:$B,72))</f>
        <v>0</v>
      </c>
      <c r="C70">
        <f>IF(ISBLANK(INDEX('Milestone Tracker – IHP'!$C:$C,72)),C69,INDEX('Milestone Tracker – IHP'!$C:$C,72))</f>
        <v>0</v>
      </c>
      <c r="D70">
        <f>IF(ISBLANK(INDEX('Milestone Tracker – IHP'!$D:$D,72)),D69,INDEX('Milestone Tracker – IHP'!$D:$D,72))</f>
        <v>0</v>
      </c>
      <c r="E70" t="str">
        <f>IF(ISBLANK(INDEX('Milestone Tracker – IHP'!$E:$E,72)),"",INDEX('Milestone Tracker – IHP'!$E:$E,72))</f>
        <v/>
      </c>
      <c r="F70" t="str">
        <f>IF(ISBLANK(INDEX('Milestone Tracker – IHP'!$F:$F,72)),"",INDEX('Milestone Tracker – IHP'!$F:$F,72))</f>
        <v/>
      </c>
      <c r="G70" s="18" t="e">
        <f>IF(ISBLANK(INDEX('Milestone Tracker – IHP'!#REF!,72)),"",INDEX('Milestone Tracker – IHP'!#REF!,72))</f>
        <v>#REF!</v>
      </c>
      <c r="H70" s="19" t="str">
        <f>IF(ISBLANK(INDEX('Milestone Tracker – IHP'!$G:$G,72)),"",INDEX('Milestone Tracker – IHP'!$G:$G,72))</f>
        <v/>
      </c>
      <c r="I70" t="str">
        <f>IF(ISBLANK(INDEX('Milestone Tracker – IHP'!$H:$H,72)),"",INDEX('Milestone Tracker – IHP'!$H:$H,72))</f>
        <v/>
      </c>
      <c r="J70" t="e">
        <f>IF(ISBLANK(INDEX('Milestone Tracker – IHP'!#REF!,72)),"",INDEX('Milestone Tracker – IHP'!#REF!,72))</f>
        <v>#REF!</v>
      </c>
      <c r="K70">
        <f t="shared" si="2"/>
        <v>0</v>
      </c>
      <c r="L70">
        <f t="shared" si="3"/>
        <v>0</v>
      </c>
    </row>
    <row r="71" spans="1:12" x14ac:dyDescent="0.35">
      <c r="A71">
        <v>73</v>
      </c>
      <c r="B71">
        <f>IF(ISBLANK(INDEX('Milestone Tracker – IHP'!$B:$B,73)),B70,INDEX('Milestone Tracker – IHP'!$B:$B,73))</f>
        <v>0</v>
      </c>
      <c r="C71">
        <f>IF(ISBLANK(INDEX('Milestone Tracker – IHP'!$C:$C,73)),C70,INDEX('Milestone Tracker – IHP'!$C:$C,73))</f>
        <v>0</v>
      </c>
      <c r="D71">
        <f>IF(ISBLANK(INDEX('Milestone Tracker – IHP'!$D:$D,73)),D70,INDEX('Milestone Tracker – IHP'!$D:$D,73))</f>
        <v>0</v>
      </c>
      <c r="E71" t="str">
        <f>IF(ISBLANK(INDEX('Milestone Tracker – IHP'!$E:$E,73)),"",INDEX('Milestone Tracker – IHP'!$E:$E,73))</f>
        <v/>
      </c>
      <c r="F71" t="str">
        <f>IF(ISBLANK(INDEX('Milestone Tracker – IHP'!$F:$F,73)),"",INDEX('Milestone Tracker – IHP'!$F:$F,73))</f>
        <v/>
      </c>
      <c r="G71" s="18" t="e">
        <f>IF(ISBLANK(INDEX('Milestone Tracker – IHP'!#REF!,73)),"",INDEX('Milestone Tracker – IHP'!#REF!,73))</f>
        <v>#REF!</v>
      </c>
      <c r="H71" t="str">
        <f>IF(ISBLANK(INDEX('Milestone Tracker – IHP'!$G:$G,73)),"",INDEX('Milestone Tracker – IHP'!$G:$G,73))</f>
        <v/>
      </c>
      <c r="I71" t="str">
        <f>IF(ISBLANK(INDEX('Milestone Tracker – IHP'!$H:$H,73)),"",INDEX('Milestone Tracker – IHP'!$H:$H,73))</f>
        <v/>
      </c>
      <c r="J71" t="e">
        <f>IF(ISBLANK(INDEX('Milestone Tracker – IHP'!#REF!,73)),"",INDEX('Milestone Tracker – IHP'!#REF!,73))</f>
        <v>#REF!</v>
      </c>
      <c r="K71">
        <f t="shared" si="2"/>
        <v>0</v>
      </c>
      <c r="L71">
        <f t="shared" si="3"/>
        <v>0</v>
      </c>
    </row>
    <row r="72" spans="1:12" x14ac:dyDescent="0.35">
      <c r="A72">
        <v>74</v>
      </c>
      <c r="B72">
        <f>IF(ISBLANK(INDEX('Milestone Tracker – IHP'!$B:$B,74)),B71,INDEX('Milestone Tracker – IHP'!$B:$B,74))</f>
        <v>0</v>
      </c>
      <c r="C72">
        <f>IF(ISBLANK(INDEX('Milestone Tracker – IHP'!$C:$C,74)),C71,INDEX('Milestone Tracker – IHP'!$C:$C,74))</f>
        <v>0</v>
      </c>
      <c r="D72">
        <f>IF(ISBLANK(INDEX('Milestone Tracker – IHP'!$D:$D,74)),D71,INDEX('Milestone Tracker – IHP'!$D:$D,74))</f>
        <v>0</v>
      </c>
      <c r="E72" t="str">
        <f>IF(ISBLANK(INDEX('Milestone Tracker – IHP'!$E:$E,74)),"",INDEX('Milestone Tracker – IHP'!$E:$E,74))</f>
        <v/>
      </c>
      <c r="F72" t="str">
        <f>IF(ISBLANK(INDEX('Milestone Tracker – IHP'!$F:$F,74)),"",INDEX('Milestone Tracker – IHP'!$F:$F,74))</f>
        <v/>
      </c>
      <c r="G72" t="e">
        <f>IF(ISBLANK(INDEX('Milestone Tracker – IHP'!#REF!,74)),"",INDEX('Milestone Tracker – IHP'!#REF!,74))</f>
        <v>#REF!</v>
      </c>
      <c r="H72" t="str">
        <f>IF(ISBLANK(INDEX('Milestone Tracker – IHP'!$G:$G,74)),"",INDEX('Milestone Tracker – IHP'!$G:$G,74))</f>
        <v/>
      </c>
      <c r="I72" t="str">
        <f>IF(ISBLANK(INDEX('Milestone Tracker – IHP'!$H:$H,74)),"",INDEX('Milestone Tracker – IHP'!$H:$H,74))</f>
        <v/>
      </c>
      <c r="J72" t="e">
        <f>IF(ISBLANK(INDEX('Milestone Tracker – IHP'!#REF!,74)),"",INDEX('Milestone Tracker – IHP'!#REF!,74))</f>
        <v>#REF!</v>
      </c>
      <c r="K72">
        <f t="shared" si="2"/>
        <v>0</v>
      </c>
      <c r="L72">
        <f t="shared" si="3"/>
        <v>0</v>
      </c>
    </row>
    <row r="73" spans="1:12" x14ac:dyDescent="0.35">
      <c r="A73">
        <v>75</v>
      </c>
      <c r="B73">
        <f>IF(ISBLANK(INDEX('Milestone Tracker – IHP'!$B:$B,75)),B72,INDEX('Milestone Tracker – IHP'!$B:$B,75))</f>
        <v>0</v>
      </c>
      <c r="C73">
        <f>IF(ISBLANK(INDEX('Milestone Tracker – IHP'!$C:$C,75)),C72,INDEX('Milestone Tracker – IHP'!$C:$C,75))</f>
        <v>0</v>
      </c>
      <c r="D73">
        <f>IF(ISBLANK(INDEX('Milestone Tracker – IHP'!$D:$D,75)),D72,INDEX('Milestone Tracker – IHP'!$D:$D,75))</f>
        <v>0</v>
      </c>
      <c r="E73" t="str">
        <f>IF(ISBLANK(INDEX('Milestone Tracker – IHP'!$E:$E,75)),"",INDEX('Milestone Tracker – IHP'!$E:$E,75))</f>
        <v/>
      </c>
      <c r="F73" t="str">
        <f>IF(ISBLANK(INDEX('Milestone Tracker – IHP'!$F:$F,75)),"",INDEX('Milestone Tracker – IHP'!$F:$F,75))</f>
        <v>PORTFOLIO TOTAL</v>
      </c>
      <c r="G73" s="18" t="e">
        <f>IF(ISBLANK(INDEX('Milestone Tracker – IHP'!#REF!,75)),"",INDEX('Milestone Tracker – IHP'!#REF!,75))</f>
        <v>#REF!</v>
      </c>
      <c r="H73" t="str">
        <f>IF(ISBLANK(INDEX('Milestone Tracker – IHP'!$G:$G,75)),"",INDEX('Milestone Tracker – IHP'!$G:$G,75))</f>
        <v/>
      </c>
      <c r="I73" t="str">
        <f>IF(ISBLANK(INDEX('Milestone Tracker – IHP'!$H:$H,75)),"",INDEX('Milestone Tracker – IHP'!$H:$H,75))</f>
        <v>Paid ▶</v>
      </c>
      <c r="J73" s="18" t="e">
        <f>IF(ISBLANK(INDEX('Milestone Tracker – IHP'!#REF!,75)),"",INDEX('Milestone Tracker – IHP'!#REF!,75))</f>
        <v>#REF!</v>
      </c>
      <c r="K73">
        <f t="shared" si="2"/>
        <v>0</v>
      </c>
      <c r="L73">
        <f t="shared" si="3"/>
        <v>0</v>
      </c>
    </row>
    <row r="74" spans="1:12" x14ac:dyDescent="0.35">
      <c r="A74">
        <v>76</v>
      </c>
      <c r="B74">
        <f>IF(ISBLANK(INDEX('Milestone Tracker – IHP'!$B:$B,76)),B73,INDEX('Milestone Tracker – IHP'!$B:$B,76))</f>
        <v>0</v>
      </c>
      <c r="C74">
        <f>IF(ISBLANK(INDEX('Milestone Tracker – IHP'!$C:$C,76)),C73,INDEX('Milestone Tracker – IHP'!$C:$C,76))</f>
        <v>0</v>
      </c>
      <c r="D74">
        <f>IF(ISBLANK(INDEX('Milestone Tracker – IHP'!$D:$D,76)),D73,INDEX('Milestone Tracker – IHP'!$D:$D,76))</f>
        <v>0</v>
      </c>
      <c r="E74" t="str">
        <f>IF(ISBLANK(INDEX('Milestone Tracker – IHP'!$E:$E,76)),"",INDEX('Milestone Tracker – IHP'!$E:$E,76))</f>
        <v/>
      </c>
      <c r="F74" t="str">
        <f>IF(ISBLANK(INDEX('Milestone Tracker – IHP'!$F:$F,76)),"",INDEX('Milestone Tracker – IHP'!$F:$F,76))</f>
        <v/>
      </c>
      <c r="G74" t="e">
        <f>IF(ISBLANK(INDEX('Milestone Tracker – IHP'!#REF!,76)),"",INDEX('Milestone Tracker – IHP'!#REF!,76))</f>
        <v>#REF!</v>
      </c>
      <c r="H74" t="str">
        <f>IF(ISBLANK(INDEX('Milestone Tracker – IHP'!$G:$G,76)),"",INDEX('Milestone Tracker – IHP'!$G:$G,76))</f>
        <v/>
      </c>
      <c r="I74" t="str">
        <f>IF(ISBLANK(INDEX('Milestone Tracker – IHP'!$H:$H,76)),"",INDEX('Milestone Tracker – IHP'!$H:$H,76))</f>
        <v/>
      </c>
      <c r="J74" t="e">
        <f>IF(ISBLANK(INDEX('Milestone Tracker – IHP'!#REF!,76)),"",INDEX('Milestone Tracker – IHP'!#REF!,76))</f>
        <v>#REF!</v>
      </c>
      <c r="K74">
        <f t="shared" si="2"/>
        <v>0</v>
      </c>
      <c r="L74">
        <f t="shared" si="3"/>
        <v>0</v>
      </c>
    </row>
    <row r="75" spans="1:12" x14ac:dyDescent="0.35">
      <c r="A75">
        <v>77</v>
      </c>
      <c r="B75">
        <f>IF(ISBLANK(INDEX('Milestone Tracker – IHP'!$B:$B,77)),B74,INDEX('Milestone Tracker – IHP'!$B:$B,77))</f>
        <v>0</v>
      </c>
      <c r="C75">
        <f>IF(ISBLANK(INDEX('Milestone Tracker – IHP'!$C:$C,77)),C74,INDEX('Milestone Tracker – IHP'!$C:$C,77))</f>
        <v>0</v>
      </c>
      <c r="D75">
        <f>IF(ISBLANK(INDEX('Milestone Tracker – IHP'!$D:$D,77)),D74,INDEX('Milestone Tracker – IHP'!$D:$D,77))</f>
        <v>0</v>
      </c>
      <c r="E75" t="str">
        <f>IF(ISBLANK(INDEX('Milestone Tracker – IHP'!$E:$E,77)),"",INDEX('Milestone Tracker – IHP'!$E:$E,77))</f>
        <v/>
      </c>
      <c r="F75" t="str">
        <f>IF(ISBLANK(INDEX('Milestone Tracker – IHP'!$F:$F,77)),"",INDEX('Milestone Tracker – IHP'!$F:$F,77))</f>
        <v/>
      </c>
      <c r="G75" t="e">
        <f>IF(ISBLANK(INDEX('Milestone Tracker – IHP'!#REF!,77)),"",INDEX('Milestone Tracker – IHP'!#REF!,77))</f>
        <v>#REF!</v>
      </c>
      <c r="H75" t="str">
        <f>IF(ISBLANK(INDEX('Milestone Tracker – IHP'!$G:$G,77)),"",INDEX('Milestone Tracker – IHP'!$G:$G,77))</f>
        <v/>
      </c>
      <c r="I75" t="str">
        <f>IF(ISBLANK(INDEX('Milestone Tracker – IHP'!$H:$H,77)),"",INDEX('Milestone Tracker – IHP'!$H:$H,77))</f>
        <v/>
      </c>
      <c r="J75" t="e">
        <f>IF(ISBLANK(INDEX('Milestone Tracker – IHP'!#REF!,77)),"",INDEX('Milestone Tracker – IHP'!#REF!,77))</f>
        <v>#REF!</v>
      </c>
      <c r="K75">
        <f t="shared" si="2"/>
        <v>0</v>
      </c>
      <c r="L75">
        <f t="shared" si="3"/>
        <v>0</v>
      </c>
    </row>
    <row r="76" spans="1:12" x14ac:dyDescent="0.35">
      <c r="A76">
        <v>78</v>
      </c>
      <c r="B76">
        <f>IF(ISBLANK(INDEX('Milestone Tracker – IHP'!$B:$B,78)),B75,INDEX('Milestone Tracker – IHP'!$B:$B,78))</f>
        <v>0</v>
      </c>
      <c r="C76">
        <f>IF(ISBLANK(INDEX('Milestone Tracker – IHP'!$C:$C,78)),C75,INDEX('Milestone Tracker – IHP'!$C:$C,78))</f>
        <v>0</v>
      </c>
      <c r="D76">
        <f>IF(ISBLANK(INDEX('Milestone Tracker – IHP'!$D:$D,78)),D75,INDEX('Milestone Tracker – IHP'!$D:$D,78))</f>
        <v>0</v>
      </c>
      <c r="E76" t="str">
        <f>IF(ISBLANK(INDEX('Milestone Tracker – IHP'!$E:$E,78)),"",INDEX('Milestone Tracker – IHP'!$E:$E,78))</f>
        <v/>
      </c>
      <c r="F76" t="str">
        <f>IF(ISBLANK(INDEX('Milestone Tracker – IHP'!$F:$F,78)),"",INDEX('Milestone Tracker – IHP'!$F:$F,78))</f>
        <v/>
      </c>
      <c r="G76" t="e">
        <f>IF(ISBLANK(INDEX('Milestone Tracker – IHP'!#REF!,78)),"",INDEX('Milestone Tracker – IHP'!#REF!,78))</f>
        <v>#REF!</v>
      </c>
      <c r="H76" t="str">
        <f>IF(ISBLANK(INDEX('Milestone Tracker – IHP'!$G:$G,78)),"",INDEX('Milestone Tracker – IHP'!$G:$G,78))</f>
        <v/>
      </c>
      <c r="I76" t="str">
        <f>IF(ISBLANK(INDEX('Milestone Tracker – IHP'!$H:$H,78)),"",INDEX('Milestone Tracker – IHP'!$H:$H,78))</f>
        <v/>
      </c>
      <c r="J76" t="e">
        <f>IF(ISBLANK(INDEX('Milestone Tracker – IHP'!#REF!,78)),"",INDEX('Milestone Tracker – IHP'!#REF!,78))</f>
        <v>#REF!</v>
      </c>
      <c r="K76">
        <f t="shared" si="2"/>
        <v>0</v>
      </c>
      <c r="L76">
        <f t="shared" si="3"/>
        <v>0</v>
      </c>
    </row>
    <row r="77" spans="1:12" x14ac:dyDescent="0.35">
      <c r="A77">
        <v>79</v>
      </c>
      <c r="B77">
        <f>IF(ISBLANK(INDEX('Milestone Tracker – IHP'!$B:$B,79)),B76,INDEX('Milestone Tracker – IHP'!$B:$B,79))</f>
        <v>0</v>
      </c>
      <c r="C77">
        <f>IF(ISBLANK(INDEX('Milestone Tracker – IHP'!$C:$C,79)),C76,INDEX('Milestone Tracker – IHP'!$C:$C,79))</f>
        <v>0</v>
      </c>
      <c r="D77">
        <f>IF(ISBLANK(INDEX('Milestone Tracker – IHP'!$D:$D,79)),D76,INDEX('Milestone Tracker – IHP'!$D:$D,79))</f>
        <v>0</v>
      </c>
      <c r="E77" t="str">
        <f>IF(ISBLANK(INDEX('Milestone Tracker – IHP'!$E:$E,79)),"",INDEX('Milestone Tracker – IHP'!$E:$E,79))</f>
        <v/>
      </c>
      <c r="F77" t="str">
        <f>IF(ISBLANK(INDEX('Milestone Tracker – IHP'!$F:$F,79)),"",INDEX('Milestone Tracker – IHP'!$F:$F,79))</f>
        <v/>
      </c>
      <c r="G77" t="e">
        <f>IF(ISBLANK(INDEX('Milestone Tracker – IHP'!#REF!,79)),"",INDEX('Milestone Tracker – IHP'!#REF!,79))</f>
        <v>#REF!</v>
      </c>
      <c r="H77" t="str">
        <f>IF(ISBLANK(INDEX('Milestone Tracker – IHP'!$G:$G,79)),"",INDEX('Milestone Tracker – IHP'!$G:$G,79))</f>
        <v/>
      </c>
      <c r="I77" t="str">
        <f>IF(ISBLANK(INDEX('Milestone Tracker – IHP'!$H:$H,79)),"",INDEX('Milestone Tracker – IHP'!$H:$H,79))</f>
        <v/>
      </c>
      <c r="J77" t="e">
        <f>IF(ISBLANK(INDEX('Milestone Tracker – IHP'!#REF!,79)),"",INDEX('Milestone Tracker – IHP'!#REF!,79))</f>
        <v>#REF!</v>
      </c>
      <c r="K77">
        <f t="shared" si="2"/>
        <v>0</v>
      </c>
      <c r="L77">
        <f t="shared" si="3"/>
        <v>0</v>
      </c>
    </row>
    <row r="78" spans="1:12" x14ac:dyDescent="0.35">
      <c r="A78">
        <v>80</v>
      </c>
      <c r="B78">
        <f>IF(ISBLANK(INDEX('Milestone Tracker – IHP'!$B:$B,80)),B77,INDEX('Milestone Tracker – IHP'!$B:$B,80))</f>
        <v>0</v>
      </c>
      <c r="C78">
        <f>IF(ISBLANK(INDEX('Milestone Tracker – IHP'!$C:$C,80)),C77,INDEX('Milestone Tracker – IHP'!$C:$C,80))</f>
        <v>0</v>
      </c>
      <c r="D78">
        <f>IF(ISBLANK(INDEX('Milestone Tracker – IHP'!$D:$D,80)),D77,INDEX('Milestone Tracker – IHP'!$D:$D,80))</f>
        <v>0</v>
      </c>
      <c r="E78" t="str">
        <f>IF(ISBLANK(INDEX('Milestone Tracker – IHP'!$E:$E,80)),"",INDEX('Milestone Tracker – IHP'!$E:$E,80))</f>
        <v/>
      </c>
      <c r="F78" t="str">
        <f>IF(ISBLANK(INDEX('Milestone Tracker – IHP'!$F:$F,80)),"",INDEX('Milestone Tracker – IHP'!$F:$F,80))</f>
        <v/>
      </c>
      <c r="G78" t="e">
        <f>IF(ISBLANK(INDEX('Milestone Tracker – IHP'!#REF!,80)),"",INDEX('Milestone Tracker – IHP'!#REF!,80))</f>
        <v>#REF!</v>
      </c>
      <c r="H78" t="str">
        <f>IF(ISBLANK(INDEX('Milestone Tracker – IHP'!$G:$G,80)),"",INDEX('Milestone Tracker – IHP'!$G:$G,80))</f>
        <v/>
      </c>
      <c r="I78" t="str">
        <f>IF(ISBLANK(INDEX('Milestone Tracker – IHP'!$H:$H,80)),"",INDEX('Milestone Tracker – IHP'!$H:$H,80))</f>
        <v/>
      </c>
      <c r="J78" t="e">
        <f>IF(ISBLANK(INDEX('Milestone Tracker – IHP'!#REF!,80)),"",INDEX('Milestone Tracker – IHP'!#REF!,80))</f>
        <v>#REF!</v>
      </c>
      <c r="K78">
        <f t="shared" si="2"/>
        <v>0</v>
      </c>
      <c r="L78">
        <f t="shared" si="3"/>
        <v>0</v>
      </c>
    </row>
    <row r="79" spans="1:12" x14ac:dyDescent="0.35">
      <c r="A79">
        <v>81</v>
      </c>
      <c r="B79">
        <f>IF(ISBLANK(INDEX('Milestone Tracker – IHP'!$B:$B,81)),B78,INDEX('Milestone Tracker – IHP'!$B:$B,81))</f>
        <v>0</v>
      </c>
      <c r="C79">
        <f>IF(ISBLANK(INDEX('Milestone Tracker – IHP'!$C:$C,81)),C78,INDEX('Milestone Tracker – IHP'!$C:$C,81))</f>
        <v>0</v>
      </c>
      <c r="D79">
        <f>IF(ISBLANK(INDEX('Milestone Tracker – IHP'!$D:$D,81)),D78,INDEX('Milestone Tracker – IHP'!$D:$D,81))</f>
        <v>0</v>
      </c>
      <c r="E79" t="str">
        <f>IF(ISBLANK(INDEX('Milestone Tracker – IHP'!$E:$E,81)),"",INDEX('Milestone Tracker – IHP'!$E:$E,81))</f>
        <v/>
      </c>
      <c r="F79" t="str">
        <f>IF(ISBLANK(INDEX('Milestone Tracker – IHP'!$F:$F,81)),"",INDEX('Milestone Tracker – IHP'!$F:$F,81))</f>
        <v/>
      </c>
      <c r="G79" t="e">
        <f>IF(ISBLANK(INDEX('Milestone Tracker – IHP'!#REF!,81)),"",INDEX('Milestone Tracker – IHP'!#REF!,81))</f>
        <v>#REF!</v>
      </c>
      <c r="H79" t="str">
        <f>IF(ISBLANK(INDEX('Milestone Tracker – IHP'!$G:$G,81)),"",INDEX('Milestone Tracker – IHP'!$G:$G,81))</f>
        <v/>
      </c>
      <c r="I79" t="str">
        <f>IF(ISBLANK(INDEX('Milestone Tracker – IHP'!$H:$H,81)),"",INDEX('Milestone Tracker – IHP'!$H:$H,81))</f>
        <v/>
      </c>
      <c r="J79" t="e">
        <f>IF(ISBLANK(INDEX('Milestone Tracker – IHP'!#REF!,81)),"",INDEX('Milestone Tracker – IHP'!#REF!,81))</f>
        <v>#REF!</v>
      </c>
      <c r="K79">
        <f t="shared" si="2"/>
        <v>0</v>
      </c>
      <c r="L79">
        <f t="shared" si="3"/>
        <v>0</v>
      </c>
    </row>
    <row r="80" spans="1:12" x14ac:dyDescent="0.35">
      <c r="A80">
        <v>82</v>
      </c>
      <c r="B80">
        <f>IF(ISBLANK(INDEX('Milestone Tracker – IHP'!$B:$B,82)),B79,INDEX('Milestone Tracker – IHP'!$B:$B,82))</f>
        <v>0</v>
      </c>
      <c r="C80">
        <f>IF(ISBLANK(INDEX('Milestone Tracker – IHP'!$C:$C,82)),C79,INDEX('Milestone Tracker – IHP'!$C:$C,82))</f>
        <v>0</v>
      </c>
      <c r="D80">
        <f>IF(ISBLANK(INDEX('Milestone Tracker – IHP'!$D:$D,82)),D79,INDEX('Milestone Tracker – IHP'!$D:$D,82))</f>
        <v>0</v>
      </c>
      <c r="E80" t="str">
        <f>IF(ISBLANK(INDEX('Milestone Tracker – IHP'!$E:$E,82)),"",INDEX('Milestone Tracker – IHP'!$E:$E,82))</f>
        <v/>
      </c>
      <c r="F80" t="str">
        <f>IF(ISBLANK(INDEX('Milestone Tracker – IHP'!$F:$F,82)),"",INDEX('Milestone Tracker – IHP'!$F:$F,82))</f>
        <v/>
      </c>
      <c r="G80" t="e">
        <f>IF(ISBLANK(INDEX('Milestone Tracker – IHP'!#REF!,82)),"",INDEX('Milestone Tracker – IHP'!#REF!,82))</f>
        <v>#REF!</v>
      </c>
      <c r="H80" t="str">
        <f>IF(ISBLANK(INDEX('Milestone Tracker – IHP'!$G:$G,82)),"",INDEX('Milestone Tracker – IHP'!$G:$G,82))</f>
        <v/>
      </c>
      <c r="I80" t="str">
        <f>IF(ISBLANK(INDEX('Milestone Tracker – IHP'!$H:$H,82)),"",INDEX('Milestone Tracker – IHP'!$H:$H,82))</f>
        <v/>
      </c>
      <c r="J80" t="e">
        <f>IF(ISBLANK(INDEX('Milestone Tracker – IHP'!#REF!,82)),"",INDEX('Milestone Tracker – IHP'!#REF!,82))</f>
        <v>#REF!</v>
      </c>
      <c r="K80">
        <f t="shared" si="2"/>
        <v>0</v>
      </c>
      <c r="L80">
        <f t="shared" si="3"/>
        <v>0</v>
      </c>
    </row>
    <row r="81" spans="1:12" x14ac:dyDescent="0.35">
      <c r="A81">
        <v>83</v>
      </c>
      <c r="B81">
        <f>IF(ISBLANK(INDEX('Milestone Tracker – IHP'!$B:$B,83)),B80,INDEX('Milestone Tracker – IHP'!$B:$B,83))</f>
        <v>0</v>
      </c>
      <c r="C81">
        <f>IF(ISBLANK(INDEX('Milestone Tracker – IHP'!$C:$C,83)),C80,INDEX('Milestone Tracker – IHP'!$C:$C,83))</f>
        <v>0</v>
      </c>
      <c r="D81">
        <f>IF(ISBLANK(INDEX('Milestone Tracker – IHP'!$D:$D,83)),D80,INDEX('Milestone Tracker – IHP'!$D:$D,83))</f>
        <v>0</v>
      </c>
      <c r="E81" t="str">
        <f>IF(ISBLANK(INDEX('Milestone Tracker – IHP'!$E:$E,83)),"",INDEX('Milestone Tracker – IHP'!$E:$E,83))</f>
        <v/>
      </c>
      <c r="F81" t="str">
        <f>IF(ISBLANK(INDEX('Milestone Tracker – IHP'!$F:$F,83)),"",INDEX('Milestone Tracker – IHP'!$F:$F,83))</f>
        <v/>
      </c>
      <c r="G81" t="e">
        <f>IF(ISBLANK(INDEX('Milestone Tracker – IHP'!#REF!,83)),"",INDEX('Milestone Tracker – IHP'!#REF!,83))</f>
        <v>#REF!</v>
      </c>
      <c r="H81" t="str">
        <f>IF(ISBLANK(INDEX('Milestone Tracker – IHP'!$G:$G,83)),"",INDEX('Milestone Tracker – IHP'!$G:$G,83))</f>
        <v/>
      </c>
      <c r="I81" t="str">
        <f>IF(ISBLANK(INDEX('Milestone Tracker – IHP'!$H:$H,83)),"",INDEX('Milestone Tracker – IHP'!$H:$H,83))</f>
        <v/>
      </c>
      <c r="J81" t="e">
        <f>IF(ISBLANK(INDEX('Milestone Tracker – IHP'!#REF!,83)),"",INDEX('Milestone Tracker – IHP'!#REF!,83))</f>
        <v>#REF!</v>
      </c>
      <c r="K81">
        <f t="shared" si="2"/>
        <v>0</v>
      </c>
      <c r="L81">
        <f t="shared" si="3"/>
        <v>0</v>
      </c>
    </row>
    <row r="82" spans="1:12" x14ac:dyDescent="0.35">
      <c r="A82">
        <v>84</v>
      </c>
      <c r="B82">
        <f>IF(ISBLANK(INDEX('Milestone Tracker – IHP'!$B:$B,84)),B81,INDEX('Milestone Tracker – IHP'!$B:$B,84))</f>
        <v>0</v>
      </c>
      <c r="C82">
        <f>IF(ISBLANK(INDEX('Milestone Tracker – IHP'!$C:$C,84)),C81,INDEX('Milestone Tracker – IHP'!$C:$C,84))</f>
        <v>0</v>
      </c>
      <c r="D82">
        <f>IF(ISBLANK(INDEX('Milestone Tracker – IHP'!$D:$D,84)),D81,INDEX('Milestone Tracker – IHP'!$D:$D,84))</f>
        <v>0</v>
      </c>
      <c r="E82" t="str">
        <f>IF(ISBLANK(INDEX('Milestone Tracker – IHP'!$E:$E,84)),"",INDEX('Milestone Tracker – IHP'!$E:$E,84))</f>
        <v/>
      </c>
      <c r="F82" t="str">
        <f>IF(ISBLANK(INDEX('Milestone Tracker – IHP'!$F:$F,84)),"",INDEX('Milestone Tracker – IHP'!$F:$F,84))</f>
        <v/>
      </c>
      <c r="G82" t="e">
        <f>IF(ISBLANK(INDEX('Milestone Tracker – IHP'!#REF!,84)),"",INDEX('Milestone Tracker – IHP'!#REF!,84))</f>
        <v>#REF!</v>
      </c>
      <c r="H82" t="str">
        <f>IF(ISBLANK(INDEX('Milestone Tracker – IHP'!$G:$G,84)),"",INDEX('Milestone Tracker – IHP'!$G:$G,84))</f>
        <v/>
      </c>
      <c r="I82" t="str">
        <f>IF(ISBLANK(INDEX('Milestone Tracker – IHP'!$H:$H,84)),"",INDEX('Milestone Tracker – IHP'!$H:$H,84))</f>
        <v/>
      </c>
      <c r="J82" t="e">
        <f>IF(ISBLANK(INDEX('Milestone Tracker – IHP'!#REF!,84)),"",INDEX('Milestone Tracker – IHP'!#REF!,84))</f>
        <v>#REF!</v>
      </c>
      <c r="K82">
        <f t="shared" si="2"/>
        <v>0</v>
      </c>
      <c r="L82">
        <f t="shared" si="3"/>
        <v>0</v>
      </c>
    </row>
    <row r="83" spans="1:12" x14ac:dyDescent="0.35">
      <c r="A83">
        <v>85</v>
      </c>
      <c r="B83">
        <f>IF(ISBLANK(INDEX('Milestone Tracker – IHP'!$B:$B,85)),B82,INDEX('Milestone Tracker – IHP'!$B:$B,85))</f>
        <v>0</v>
      </c>
      <c r="C83">
        <f>IF(ISBLANK(INDEX('Milestone Tracker – IHP'!$C:$C,85)),C82,INDEX('Milestone Tracker – IHP'!$C:$C,85))</f>
        <v>0</v>
      </c>
      <c r="D83">
        <f>IF(ISBLANK(INDEX('Milestone Tracker – IHP'!$D:$D,85)),D82,INDEX('Milestone Tracker – IHP'!$D:$D,85))</f>
        <v>0</v>
      </c>
      <c r="E83" t="str">
        <f>IF(ISBLANK(INDEX('Milestone Tracker – IHP'!$E:$E,85)),"",INDEX('Milestone Tracker – IHP'!$E:$E,85))</f>
        <v/>
      </c>
      <c r="F83" t="str">
        <f>IF(ISBLANK(INDEX('Milestone Tracker – IHP'!$F:$F,85)),"",INDEX('Milestone Tracker – IHP'!$F:$F,85))</f>
        <v/>
      </c>
      <c r="G83" t="e">
        <f>IF(ISBLANK(INDEX('Milestone Tracker – IHP'!#REF!,85)),"",INDEX('Milestone Tracker – IHP'!#REF!,85))</f>
        <v>#REF!</v>
      </c>
      <c r="H83" t="str">
        <f>IF(ISBLANK(INDEX('Milestone Tracker – IHP'!$G:$G,85)),"",INDEX('Milestone Tracker – IHP'!$G:$G,85))</f>
        <v/>
      </c>
      <c r="I83" t="str">
        <f>IF(ISBLANK(INDEX('Milestone Tracker – IHP'!$H:$H,85)),"",INDEX('Milestone Tracker – IHP'!$H:$H,85))</f>
        <v/>
      </c>
      <c r="J83" t="e">
        <f>IF(ISBLANK(INDEX('Milestone Tracker – IHP'!#REF!,85)),"",INDEX('Milestone Tracker – IHP'!#REF!,85))</f>
        <v>#REF!</v>
      </c>
      <c r="K83">
        <f t="shared" si="2"/>
        <v>0</v>
      </c>
      <c r="L83">
        <f t="shared" si="3"/>
        <v>0</v>
      </c>
    </row>
    <row r="84" spans="1:12" x14ac:dyDescent="0.35">
      <c r="A84">
        <v>86</v>
      </c>
      <c r="B84">
        <f>IF(ISBLANK(INDEX('Milestone Tracker – IHP'!$B:$B,86)),B83,INDEX('Milestone Tracker – IHP'!$B:$B,86))</f>
        <v>0</v>
      </c>
      <c r="C84">
        <f>IF(ISBLANK(INDEX('Milestone Tracker – IHP'!$C:$C,86)),C83,INDEX('Milestone Tracker – IHP'!$C:$C,86))</f>
        <v>0</v>
      </c>
      <c r="D84">
        <f>IF(ISBLANK(INDEX('Milestone Tracker – IHP'!$D:$D,86)),D83,INDEX('Milestone Tracker – IHP'!$D:$D,86))</f>
        <v>0</v>
      </c>
      <c r="E84" t="str">
        <f>IF(ISBLANK(INDEX('Milestone Tracker – IHP'!$E:$E,86)),"",INDEX('Milestone Tracker – IHP'!$E:$E,86))</f>
        <v/>
      </c>
      <c r="F84" t="str">
        <f>IF(ISBLANK(INDEX('Milestone Tracker – IHP'!$F:$F,86)),"",INDEX('Milestone Tracker – IHP'!$F:$F,86))</f>
        <v/>
      </c>
      <c r="G84" t="e">
        <f>IF(ISBLANK(INDEX('Milestone Tracker – IHP'!#REF!,86)),"",INDEX('Milestone Tracker – IHP'!#REF!,86))</f>
        <v>#REF!</v>
      </c>
      <c r="H84" t="str">
        <f>IF(ISBLANK(INDEX('Milestone Tracker – IHP'!$G:$G,86)),"",INDEX('Milestone Tracker – IHP'!$G:$G,86))</f>
        <v/>
      </c>
      <c r="I84" t="str">
        <f>IF(ISBLANK(INDEX('Milestone Tracker – IHP'!$H:$H,86)),"",INDEX('Milestone Tracker – IHP'!$H:$H,86))</f>
        <v/>
      </c>
      <c r="J84" t="e">
        <f>IF(ISBLANK(INDEX('Milestone Tracker – IHP'!#REF!,86)),"",INDEX('Milestone Tracker – IHP'!#REF!,86))</f>
        <v>#REF!</v>
      </c>
      <c r="K84">
        <f t="shared" si="2"/>
        <v>0</v>
      </c>
      <c r="L84">
        <f t="shared" si="3"/>
        <v>0</v>
      </c>
    </row>
    <row r="85" spans="1:12" x14ac:dyDescent="0.35">
      <c r="A85">
        <v>87</v>
      </c>
      <c r="B85">
        <f>IF(ISBLANK(INDEX('Milestone Tracker – IHP'!$B:$B,87)),B84,INDEX('Milestone Tracker – IHP'!$B:$B,87))</f>
        <v>0</v>
      </c>
      <c r="C85">
        <f>IF(ISBLANK(INDEX('Milestone Tracker – IHP'!$C:$C,87)),C84,INDEX('Milestone Tracker – IHP'!$C:$C,87))</f>
        <v>0</v>
      </c>
      <c r="D85">
        <f>IF(ISBLANK(INDEX('Milestone Tracker – IHP'!$D:$D,87)),D84,INDEX('Milestone Tracker – IHP'!$D:$D,87))</f>
        <v>0</v>
      </c>
      <c r="E85" t="str">
        <f>IF(ISBLANK(INDEX('Milestone Tracker – IHP'!$E:$E,87)),"",INDEX('Milestone Tracker – IHP'!$E:$E,87))</f>
        <v/>
      </c>
      <c r="F85" t="str">
        <f>IF(ISBLANK(INDEX('Milestone Tracker – IHP'!$F:$F,87)),"",INDEX('Milestone Tracker – IHP'!$F:$F,87))</f>
        <v/>
      </c>
      <c r="G85" t="e">
        <f>IF(ISBLANK(INDEX('Milestone Tracker – IHP'!#REF!,87)),"",INDEX('Milestone Tracker – IHP'!#REF!,87))</f>
        <v>#REF!</v>
      </c>
      <c r="H85" t="str">
        <f>IF(ISBLANK(INDEX('Milestone Tracker – IHP'!$G:$G,87)),"",INDEX('Milestone Tracker – IHP'!$G:$G,87))</f>
        <v/>
      </c>
      <c r="I85" t="str">
        <f>IF(ISBLANK(INDEX('Milestone Tracker – IHP'!$H:$H,87)),"",INDEX('Milestone Tracker – IHP'!$H:$H,87))</f>
        <v/>
      </c>
      <c r="J85" t="e">
        <f>IF(ISBLANK(INDEX('Milestone Tracker – IHP'!#REF!,87)),"",INDEX('Milestone Tracker – IHP'!#REF!,87))</f>
        <v>#REF!</v>
      </c>
      <c r="K85">
        <f t="shared" si="2"/>
        <v>0</v>
      </c>
      <c r="L85">
        <f t="shared" si="3"/>
        <v>0</v>
      </c>
    </row>
    <row r="86" spans="1:12" x14ac:dyDescent="0.35">
      <c r="A86">
        <v>88</v>
      </c>
      <c r="B86">
        <f>IF(ISBLANK(INDEX('Milestone Tracker – IHP'!$B:$B,88)),B85,INDEX('Milestone Tracker – IHP'!$B:$B,88))</f>
        <v>0</v>
      </c>
      <c r="C86">
        <f>IF(ISBLANK(INDEX('Milestone Tracker – IHP'!$C:$C,88)),C85,INDEX('Milestone Tracker – IHP'!$C:$C,88))</f>
        <v>0</v>
      </c>
      <c r="D86">
        <f>IF(ISBLANK(INDEX('Milestone Tracker – IHP'!$D:$D,88)),D85,INDEX('Milestone Tracker – IHP'!$D:$D,88))</f>
        <v>0</v>
      </c>
      <c r="E86" t="str">
        <f>IF(ISBLANK(INDEX('Milestone Tracker – IHP'!$E:$E,88)),"",INDEX('Milestone Tracker – IHP'!$E:$E,88))</f>
        <v/>
      </c>
      <c r="F86" t="str">
        <f>IF(ISBLANK(INDEX('Milestone Tracker – IHP'!$F:$F,88)),"",INDEX('Milestone Tracker – IHP'!$F:$F,88))</f>
        <v/>
      </c>
      <c r="G86" t="e">
        <f>IF(ISBLANK(INDEX('Milestone Tracker – IHP'!#REF!,88)),"",INDEX('Milestone Tracker – IHP'!#REF!,88))</f>
        <v>#REF!</v>
      </c>
      <c r="H86" t="str">
        <f>IF(ISBLANK(INDEX('Milestone Tracker – IHP'!$G:$G,88)),"",INDEX('Milestone Tracker – IHP'!$G:$G,88))</f>
        <v/>
      </c>
      <c r="I86" t="str">
        <f>IF(ISBLANK(INDEX('Milestone Tracker – IHP'!$H:$H,88)),"",INDEX('Milestone Tracker – IHP'!$H:$H,88))</f>
        <v/>
      </c>
      <c r="J86" t="e">
        <f>IF(ISBLANK(INDEX('Milestone Tracker – IHP'!#REF!,88)),"",INDEX('Milestone Tracker – IHP'!#REF!,88))</f>
        <v>#REF!</v>
      </c>
      <c r="K86">
        <f t="shared" si="2"/>
        <v>0</v>
      </c>
      <c r="L86">
        <f t="shared" si="3"/>
        <v>0</v>
      </c>
    </row>
    <row r="87" spans="1:12" x14ac:dyDescent="0.35">
      <c r="A87">
        <v>89</v>
      </c>
      <c r="B87">
        <f>IF(ISBLANK(INDEX('Milestone Tracker – IHP'!$B:$B,89)),B86,INDEX('Milestone Tracker – IHP'!$B:$B,89))</f>
        <v>0</v>
      </c>
      <c r="C87">
        <f>IF(ISBLANK(INDEX('Milestone Tracker – IHP'!$C:$C,89)),C86,INDEX('Milestone Tracker – IHP'!$C:$C,89))</f>
        <v>0</v>
      </c>
      <c r="D87">
        <f>IF(ISBLANK(INDEX('Milestone Tracker – IHP'!$D:$D,89)),D86,INDEX('Milestone Tracker – IHP'!$D:$D,89))</f>
        <v>0</v>
      </c>
      <c r="E87" t="str">
        <f>IF(ISBLANK(INDEX('Milestone Tracker – IHP'!$E:$E,89)),"",INDEX('Milestone Tracker – IHP'!$E:$E,89))</f>
        <v/>
      </c>
      <c r="F87" t="str">
        <f>IF(ISBLANK(INDEX('Milestone Tracker – IHP'!$F:$F,89)),"",INDEX('Milestone Tracker – IHP'!$F:$F,89))</f>
        <v/>
      </c>
      <c r="G87" t="e">
        <f>IF(ISBLANK(INDEX('Milestone Tracker – IHP'!#REF!,89)),"",INDEX('Milestone Tracker – IHP'!#REF!,89))</f>
        <v>#REF!</v>
      </c>
      <c r="H87" t="str">
        <f>IF(ISBLANK(INDEX('Milestone Tracker – IHP'!$G:$G,89)),"",INDEX('Milestone Tracker – IHP'!$G:$G,89))</f>
        <v/>
      </c>
      <c r="I87" t="str">
        <f>IF(ISBLANK(INDEX('Milestone Tracker – IHP'!$H:$H,89)),"",INDEX('Milestone Tracker – IHP'!$H:$H,89))</f>
        <v/>
      </c>
      <c r="J87" t="e">
        <f>IF(ISBLANK(INDEX('Milestone Tracker – IHP'!#REF!,89)),"",INDEX('Milestone Tracker – IHP'!#REF!,89))</f>
        <v>#REF!</v>
      </c>
      <c r="K87">
        <f t="shared" si="2"/>
        <v>0</v>
      </c>
      <c r="L87">
        <f t="shared" si="3"/>
        <v>0</v>
      </c>
    </row>
    <row r="88" spans="1:12" x14ac:dyDescent="0.35">
      <c r="A88">
        <v>90</v>
      </c>
      <c r="B88">
        <f>IF(ISBLANK(INDEX('Milestone Tracker – IHP'!$B:$B,90)),B87,INDEX('Milestone Tracker – IHP'!$B:$B,90))</f>
        <v>0</v>
      </c>
      <c r="C88">
        <f>IF(ISBLANK(INDEX('Milestone Tracker – IHP'!$C:$C,90)),C87,INDEX('Milestone Tracker – IHP'!$C:$C,90))</f>
        <v>0</v>
      </c>
      <c r="D88">
        <f>IF(ISBLANK(INDEX('Milestone Tracker – IHP'!$D:$D,90)),D87,INDEX('Milestone Tracker – IHP'!$D:$D,90))</f>
        <v>0</v>
      </c>
      <c r="E88" t="str">
        <f>IF(ISBLANK(INDEX('Milestone Tracker – IHP'!$E:$E,90)),"",INDEX('Milestone Tracker – IHP'!$E:$E,90))</f>
        <v/>
      </c>
      <c r="F88" t="str">
        <f>IF(ISBLANK(INDEX('Milestone Tracker – IHP'!$F:$F,90)),"",INDEX('Milestone Tracker – IHP'!$F:$F,90))</f>
        <v/>
      </c>
      <c r="G88" t="e">
        <f>IF(ISBLANK(INDEX('Milestone Tracker – IHP'!#REF!,90)),"",INDEX('Milestone Tracker – IHP'!#REF!,90))</f>
        <v>#REF!</v>
      </c>
      <c r="H88" t="str">
        <f>IF(ISBLANK(INDEX('Milestone Tracker – IHP'!$G:$G,90)),"",INDEX('Milestone Tracker – IHP'!$G:$G,90))</f>
        <v/>
      </c>
      <c r="I88" t="str">
        <f>IF(ISBLANK(INDEX('Milestone Tracker – IHP'!$H:$H,90)),"",INDEX('Milestone Tracker – IHP'!$H:$H,90))</f>
        <v/>
      </c>
      <c r="J88" t="e">
        <f>IF(ISBLANK(INDEX('Milestone Tracker – IHP'!#REF!,90)),"",INDEX('Milestone Tracker – IHP'!#REF!,90))</f>
        <v>#REF!</v>
      </c>
      <c r="K88">
        <f t="shared" si="2"/>
        <v>0</v>
      </c>
      <c r="L88">
        <f t="shared" si="3"/>
        <v>0</v>
      </c>
    </row>
    <row r="89" spans="1:12" x14ac:dyDescent="0.35">
      <c r="A89">
        <v>91</v>
      </c>
      <c r="B89">
        <f>IF(ISBLANK(INDEX('Milestone Tracker – IHP'!$B:$B,91)),B88,INDEX('Milestone Tracker – IHP'!$B:$B,91))</f>
        <v>0</v>
      </c>
      <c r="C89">
        <f>IF(ISBLANK(INDEX('Milestone Tracker – IHP'!$C:$C,91)),C88,INDEX('Milestone Tracker – IHP'!$C:$C,91))</f>
        <v>0</v>
      </c>
      <c r="D89">
        <f>IF(ISBLANK(INDEX('Milestone Tracker – IHP'!$D:$D,91)),D88,INDEX('Milestone Tracker – IHP'!$D:$D,91))</f>
        <v>0</v>
      </c>
      <c r="E89" t="str">
        <f>IF(ISBLANK(INDEX('Milestone Tracker – IHP'!$E:$E,91)),"",INDEX('Milestone Tracker – IHP'!$E:$E,91))</f>
        <v/>
      </c>
      <c r="F89" t="str">
        <f>IF(ISBLANK(INDEX('Milestone Tracker – IHP'!$F:$F,91)),"",INDEX('Milestone Tracker – IHP'!$F:$F,91))</f>
        <v/>
      </c>
      <c r="G89" t="e">
        <f>IF(ISBLANK(INDEX('Milestone Tracker – IHP'!#REF!,91)),"",INDEX('Milestone Tracker – IHP'!#REF!,91))</f>
        <v>#REF!</v>
      </c>
      <c r="H89" t="str">
        <f>IF(ISBLANK(INDEX('Milestone Tracker – IHP'!$G:$G,91)),"",INDEX('Milestone Tracker – IHP'!$G:$G,91))</f>
        <v/>
      </c>
      <c r="I89" t="str">
        <f>IF(ISBLANK(INDEX('Milestone Tracker – IHP'!$H:$H,91)),"",INDEX('Milestone Tracker – IHP'!$H:$H,91))</f>
        <v/>
      </c>
      <c r="J89" t="e">
        <f>IF(ISBLANK(INDEX('Milestone Tracker – IHP'!#REF!,91)),"",INDEX('Milestone Tracker – IHP'!#REF!,91))</f>
        <v>#REF!</v>
      </c>
      <c r="K89">
        <f t="shared" si="2"/>
        <v>0</v>
      </c>
      <c r="L89">
        <f t="shared" si="3"/>
        <v>0</v>
      </c>
    </row>
    <row r="90" spans="1:12" x14ac:dyDescent="0.35">
      <c r="A90">
        <v>92</v>
      </c>
      <c r="B90">
        <f>IF(ISBLANK(INDEX('Milestone Tracker – IHP'!$B:$B,92)),B89,INDEX('Milestone Tracker – IHP'!$B:$B,92))</f>
        <v>0</v>
      </c>
      <c r="C90">
        <f>IF(ISBLANK(INDEX('Milestone Tracker – IHP'!$C:$C,92)),C89,INDEX('Milestone Tracker – IHP'!$C:$C,92))</f>
        <v>0</v>
      </c>
      <c r="D90">
        <f>IF(ISBLANK(INDEX('Milestone Tracker – IHP'!$D:$D,92)),D89,INDEX('Milestone Tracker – IHP'!$D:$D,92))</f>
        <v>0</v>
      </c>
      <c r="E90" t="str">
        <f>IF(ISBLANK(INDEX('Milestone Tracker – IHP'!$E:$E,92)),"",INDEX('Milestone Tracker – IHP'!$E:$E,92))</f>
        <v/>
      </c>
      <c r="F90" t="str">
        <f>IF(ISBLANK(INDEX('Milestone Tracker – IHP'!$F:$F,92)),"",INDEX('Milestone Tracker – IHP'!$F:$F,92))</f>
        <v/>
      </c>
      <c r="G90" t="e">
        <f>IF(ISBLANK(INDEX('Milestone Tracker – IHP'!#REF!,92)),"",INDEX('Milestone Tracker – IHP'!#REF!,92))</f>
        <v>#REF!</v>
      </c>
      <c r="H90" t="str">
        <f>IF(ISBLANK(INDEX('Milestone Tracker – IHP'!$G:$G,92)),"",INDEX('Milestone Tracker – IHP'!$G:$G,92))</f>
        <v/>
      </c>
      <c r="I90" t="str">
        <f>IF(ISBLANK(INDEX('Milestone Tracker – IHP'!$H:$H,92)),"",INDEX('Milestone Tracker – IHP'!$H:$H,92))</f>
        <v/>
      </c>
      <c r="J90" t="e">
        <f>IF(ISBLANK(INDEX('Milestone Tracker – IHP'!#REF!,92)),"",INDEX('Milestone Tracker – IHP'!#REF!,92))</f>
        <v>#REF!</v>
      </c>
      <c r="K90">
        <f t="shared" si="2"/>
        <v>0</v>
      </c>
      <c r="L90">
        <f t="shared" si="3"/>
        <v>0</v>
      </c>
    </row>
    <row r="91" spans="1:12" x14ac:dyDescent="0.35">
      <c r="A91">
        <v>93</v>
      </c>
      <c r="B91">
        <f>IF(ISBLANK(INDEX('Milestone Tracker – IHP'!$B:$B,93)),B90,INDEX('Milestone Tracker – IHP'!$B:$B,93))</f>
        <v>0</v>
      </c>
      <c r="C91">
        <f>IF(ISBLANK(INDEX('Milestone Tracker – IHP'!$C:$C,93)),C90,INDEX('Milestone Tracker – IHP'!$C:$C,93))</f>
        <v>0</v>
      </c>
      <c r="D91">
        <f>IF(ISBLANK(INDEX('Milestone Tracker – IHP'!$D:$D,93)),D90,INDEX('Milestone Tracker – IHP'!$D:$D,93))</f>
        <v>0</v>
      </c>
      <c r="E91" t="str">
        <f>IF(ISBLANK(INDEX('Milestone Tracker – IHP'!$E:$E,93)),"",INDEX('Milestone Tracker – IHP'!$E:$E,93))</f>
        <v/>
      </c>
      <c r="F91" t="str">
        <f>IF(ISBLANK(INDEX('Milestone Tracker – IHP'!$F:$F,93)),"",INDEX('Milestone Tracker – IHP'!$F:$F,93))</f>
        <v/>
      </c>
      <c r="G91" t="e">
        <f>IF(ISBLANK(INDEX('Milestone Tracker – IHP'!#REF!,93)),"",INDEX('Milestone Tracker – IHP'!#REF!,93))</f>
        <v>#REF!</v>
      </c>
      <c r="H91" t="str">
        <f>IF(ISBLANK(INDEX('Milestone Tracker – IHP'!$G:$G,93)),"",INDEX('Milestone Tracker – IHP'!$G:$G,93))</f>
        <v/>
      </c>
      <c r="I91" t="str">
        <f>IF(ISBLANK(INDEX('Milestone Tracker – IHP'!$H:$H,93)),"",INDEX('Milestone Tracker – IHP'!$H:$H,93))</f>
        <v/>
      </c>
      <c r="J91" t="e">
        <f>IF(ISBLANK(INDEX('Milestone Tracker – IHP'!#REF!,93)),"",INDEX('Milestone Tracker – IHP'!#REF!,93))</f>
        <v>#REF!</v>
      </c>
      <c r="K91">
        <f t="shared" si="2"/>
        <v>0</v>
      </c>
      <c r="L91">
        <f t="shared" si="3"/>
        <v>0</v>
      </c>
    </row>
    <row r="92" spans="1:12" x14ac:dyDescent="0.35">
      <c r="A92">
        <v>94</v>
      </c>
      <c r="B92">
        <f>IF(ISBLANK(INDEX('Milestone Tracker – IHP'!$B:$B,94)),B91,INDEX('Milestone Tracker – IHP'!$B:$B,94))</f>
        <v>0</v>
      </c>
      <c r="C92">
        <f>IF(ISBLANK(INDEX('Milestone Tracker – IHP'!$C:$C,94)),C91,INDEX('Milestone Tracker – IHP'!$C:$C,94))</f>
        <v>0</v>
      </c>
      <c r="D92">
        <f>IF(ISBLANK(INDEX('Milestone Tracker – IHP'!$D:$D,94)),D91,INDEX('Milestone Tracker – IHP'!$D:$D,94))</f>
        <v>0</v>
      </c>
      <c r="E92" t="str">
        <f>IF(ISBLANK(INDEX('Milestone Tracker – IHP'!$E:$E,94)),"",INDEX('Milestone Tracker – IHP'!$E:$E,94))</f>
        <v/>
      </c>
      <c r="F92" t="str">
        <f>IF(ISBLANK(INDEX('Milestone Tracker – IHP'!$F:$F,94)),"",INDEX('Milestone Tracker – IHP'!$F:$F,94))</f>
        <v/>
      </c>
      <c r="G92" t="e">
        <f>IF(ISBLANK(INDEX('Milestone Tracker – IHP'!#REF!,94)),"",INDEX('Milestone Tracker – IHP'!#REF!,94))</f>
        <v>#REF!</v>
      </c>
      <c r="H92" t="str">
        <f>IF(ISBLANK(INDEX('Milestone Tracker – IHP'!$G:$G,94)),"",INDEX('Milestone Tracker – IHP'!$G:$G,94))</f>
        <v/>
      </c>
      <c r="I92" t="str">
        <f>IF(ISBLANK(INDEX('Milestone Tracker – IHP'!$H:$H,94)),"",INDEX('Milestone Tracker – IHP'!$H:$H,94))</f>
        <v/>
      </c>
      <c r="J92" t="e">
        <f>IF(ISBLANK(INDEX('Milestone Tracker – IHP'!#REF!,94)),"",INDEX('Milestone Tracker – IHP'!#REF!,94))</f>
        <v>#REF!</v>
      </c>
      <c r="K92">
        <f t="shared" si="2"/>
        <v>0</v>
      </c>
      <c r="L92">
        <f t="shared" si="3"/>
        <v>0</v>
      </c>
    </row>
    <row r="93" spans="1:12" x14ac:dyDescent="0.35">
      <c r="A93">
        <v>95</v>
      </c>
      <c r="B93">
        <f>IF(ISBLANK(INDEX('Milestone Tracker – IHP'!$B:$B,95)),B92,INDEX('Milestone Tracker – IHP'!$B:$B,95))</f>
        <v>0</v>
      </c>
      <c r="C93">
        <f>IF(ISBLANK(INDEX('Milestone Tracker – IHP'!$C:$C,95)),C92,INDEX('Milestone Tracker – IHP'!$C:$C,95))</f>
        <v>0</v>
      </c>
      <c r="D93">
        <f>IF(ISBLANK(INDEX('Milestone Tracker – IHP'!$D:$D,95)),D92,INDEX('Milestone Tracker – IHP'!$D:$D,95))</f>
        <v>0</v>
      </c>
      <c r="E93" t="str">
        <f>IF(ISBLANK(INDEX('Milestone Tracker – IHP'!$E:$E,95)),"",INDEX('Milestone Tracker – IHP'!$E:$E,95))</f>
        <v/>
      </c>
      <c r="F93" t="str">
        <f>IF(ISBLANK(INDEX('Milestone Tracker – IHP'!$F:$F,95)),"",INDEX('Milestone Tracker – IHP'!$F:$F,95))</f>
        <v/>
      </c>
      <c r="G93" t="e">
        <f>IF(ISBLANK(INDEX('Milestone Tracker – IHP'!#REF!,95)),"",INDEX('Milestone Tracker – IHP'!#REF!,95))</f>
        <v>#REF!</v>
      </c>
      <c r="H93" t="str">
        <f>IF(ISBLANK(INDEX('Milestone Tracker – IHP'!$G:$G,95)),"",INDEX('Milestone Tracker – IHP'!$G:$G,95))</f>
        <v/>
      </c>
      <c r="I93" t="str">
        <f>IF(ISBLANK(INDEX('Milestone Tracker – IHP'!$H:$H,95)),"",INDEX('Milestone Tracker – IHP'!$H:$H,95))</f>
        <v/>
      </c>
      <c r="J93" t="e">
        <f>IF(ISBLANK(INDEX('Milestone Tracker – IHP'!#REF!,95)),"",INDEX('Milestone Tracker – IHP'!#REF!,95))</f>
        <v>#REF!</v>
      </c>
      <c r="K93">
        <f t="shared" si="2"/>
        <v>0</v>
      </c>
      <c r="L93">
        <f t="shared" si="3"/>
        <v>0</v>
      </c>
    </row>
    <row r="94" spans="1:12" x14ac:dyDescent="0.35">
      <c r="A94">
        <v>96</v>
      </c>
      <c r="B94">
        <f>IF(ISBLANK(INDEX('Milestone Tracker – IHP'!$B:$B,96)),B93,INDEX('Milestone Tracker – IHP'!$B:$B,96))</f>
        <v>0</v>
      </c>
      <c r="C94">
        <f>IF(ISBLANK(INDEX('Milestone Tracker – IHP'!$C:$C,96)),C93,INDEX('Milestone Tracker – IHP'!$C:$C,96))</f>
        <v>0</v>
      </c>
      <c r="D94">
        <f>IF(ISBLANK(INDEX('Milestone Tracker – IHP'!$D:$D,96)),D93,INDEX('Milestone Tracker – IHP'!$D:$D,96))</f>
        <v>0</v>
      </c>
      <c r="E94" t="str">
        <f>IF(ISBLANK(INDEX('Milestone Tracker – IHP'!$E:$E,96)),"",INDEX('Milestone Tracker – IHP'!$E:$E,96))</f>
        <v/>
      </c>
      <c r="F94" t="str">
        <f>IF(ISBLANK(INDEX('Milestone Tracker – IHP'!$F:$F,96)),"",INDEX('Milestone Tracker – IHP'!$F:$F,96))</f>
        <v/>
      </c>
      <c r="G94" t="e">
        <f>IF(ISBLANK(INDEX('Milestone Tracker – IHP'!#REF!,96)),"",INDEX('Milestone Tracker – IHP'!#REF!,96))</f>
        <v>#REF!</v>
      </c>
      <c r="H94" t="str">
        <f>IF(ISBLANK(INDEX('Milestone Tracker – IHP'!$G:$G,96)),"",INDEX('Milestone Tracker – IHP'!$G:$G,96))</f>
        <v/>
      </c>
      <c r="I94" t="str">
        <f>IF(ISBLANK(INDEX('Milestone Tracker – IHP'!$H:$H,96)),"",INDEX('Milestone Tracker – IHP'!$H:$H,96))</f>
        <v/>
      </c>
      <c r="J94" t="e">
        <f>IF(ISBLANK(INDEX('Milestone Tracker – IHP'!#REF!,96)),"",INDEX('Milestone Tracker – IHP'!#REF!,96))</f>
        <v>#REF!</v>
      </c>
      <c r="K94">
        <f t="shared" si="2"/>
        <v>0</v>
      </c>
      <c r="L94">
        <f t="shared" si="3"/>
        <v>0</v>
      </c>
    </row>
    <row r="95" spans="1:12" x14ac:dyDescent="0.35">
      <c r="A95">
        <v>97</v>
      </c>
      <c r="B95">
        <f>IF(ISBLANK(INDEX('Milestone Tracker – IHP'!$B:$B,97)),B94,INDEX('Milestone Tracker – IHP'!$B:$B,97))</f>
        <v>0</v>
      </c>
      <c r="C95">
        <f>IF(ISBLANK(INDEX('Milestone Tracker – IHP'!$C:$C,97)),C94,INDEX('Milestone Tracker – IHP'!$C:$C,97))</f>
        <v>0</v>
      </c>
      <c r="D95">
        <f>IF(ISBLANK(INDEX('Milestone Tracker – IHP'!$D:$D,97)),D94,INDEX('Milestone Tracker – IHP'!$D:$D,97))</f>
        <v>0</v>
      </c>
      <c r="E95" t="str">
        <f>IF(ISBLANK(INDEX('Milestone Tracker – IHP'!$E:$E,97)),"",INDEX('Milestone Tracker – IHP'!$E:$E,97))</f>
        <v/>
      </c>
      <c r="F95" t="str">
        <f>IF(ISBLANK(INDEX('Milestone Tracker – IHP'!$F:$F,97)),"",INDEX('Milestone Tracker – IHP'!$F:$F,97))</f>
        <v/>
      </c>
      <c r="G95" t="e">
        <f>IF(ISBLANK(INDEX('Milestone Tracker – IHP'!#REF!,97)),"",INDEX('Milestone Tracker – IHP'!#REF!,97))</f>
        <v>#REF!</v>
      </c>
      <c r="H95" t="str">
        <f>IF(ISBLANK(INDEX('Milestone Tracker – IHP'!$G:$G,97)),"",INDEX('Milestone Tracker – IHP'!$G:$G,97))</f>
        <v/>
      </c>
      <c r="I95" t="str">
        <f>IF(ISBLANK(INDEX('Milestone Tracker – IHP'!$H:$H,97)),"",INDEX('Milestone Tracker – IHP'!$H:$H,97))</f>
        <v/>
      </c>
      <c r="J95" t="e">
        <f>IF(ISBLANK(INDEX('Milestone Tracker – IHP'!#REF!,97)),"",INDEX('Milestone Tracker – IHP'!#REF!,97))</f>
        <v>#REF!</v>
      </c>
      <c r="K95">
        <f t="shared" si="2"/>
        <v>0</v>
      </c>
      <c r="L95">
        <f t="shared" si="3"/>
        <v>0</v>
      </c>
    </row>
    <row r="96" spans="1:12" x14ac:dyDescent="0.35">
      <c r="A96">
        <v>98</v>
      </c>
      <c r="B96">
        <f>IF(ISBLANK(INDEX('Milestone Tracker – IHP'!$B:$B,98)),B95,INDEX('Milestone Tracker – IHP'!$B:$B,98))</f>
        <v>0</v>
      </c>
      <c r="C96">
        <f>IF(ISBLANK(INDEX('Milestone Tracker – IHP'!$C:$C,98)),C95,INDEX('Milestone Tracker – IHP'!$C:$C,98))</f>
        <v>0</v>
      </c>
      <c r="D96">
        <f>IF(ISBLANK(INDEX('Milestone Tracker – IHP'!$D:$D,98)),D95,INDEX('Milestone Tracker – IHP'!$D:$D,98))</f>
        <v>0</v>
      </c>
      <c r="E96" t="str">
        <f>IF(ISBLANK(INDEX('Milestone Tracker – IHP'!$E:$E,98)),"",INDEX('Milestone Tracker – IHP'!$E:$E,98))</f>
        <v/>
      </c>
      <c r="F96" t="str">
        <f>IF(ISBLANK(INDEX('Milestone Tracker – IHP'!$F:$F,98)),"",INDEX('Milestone Tracker – IHP'!$F:$F,98))</f>
        <v/>
      </c>
      <c r="G96" t="e">
        <f>IF(ISBLANK(INDEX('Milestone Tracker – IHP'!#REF!,98)),"",INDEX('Milestone Tracker – IHP'!#REF!,98))</f>
        <v>#REF!</v>
      </c>
      <c r="H96" t="str">
        <f>IF(ISBLANK(INDEX('Milestone Tracker – IHP'!$G:$G,98)),"",INDEX('Milestone Tracker – IHP'!$G:$G,98))</f>
        <v/>
      </c>
      <c r="I96" t="str">
        <f>IF(ISBLANK(INDEX('Milestone Tracker – IHP'!$H:$H,98)),"",INDEX('Milestone Tracker – IHP'!$H:$H,98))</f>
        <v/>
      </c>
      <c r="J96" t="e">
        <f>IF(ISBLANK(INDEX('Milestone Tracker – IHP'!#REF!,98)),"",INDEX('Milestone Tracker – IHP'!#REF!,98))</f>
        <v>#REF!</v>
      </c>
      <c r="K96">
        <f t="shared" si="2"/>
        <v>0</v>
      </c>
      <c r="L96">
        <f t="shared" si="3"/>
        <v>0</v>
      </c>
    </row>
    <row r="97" spans="1:12" x14ac:dyDescent="0.35">
      <c r="A97">
        <v>99</v>
      </c>
      <c r="B97">
        <f>IF(ISBLANK(INDEX('Milestone Tracker – IHP'!$B:$B,99)),B96,INDEX('Milestone Tracker – IHP'!$B:$B,99))</f>
        <v>0</v>
      </c>
      <c r="C97">
        <f>IF(ISBLANK(INDEX('Milestone Tracker – IHP'!$C:$C,99)),C96,INDEX('Milestone Tracker – IHP'!$C:$C,99))</f>
        <v>0</v>
      </c>
      <c r="D97">
        <f>IF(ISBLANK(INDEX('Milestone Tracker – IHP'!$D:$D,99)),D96,INDEX('Milestone Tracker – IHP'!$D:$D,99))</f>
        <v>0</v>
      </c>
      <c r="E97" t="str">
        <f>IF(ISBLANK(INDEX('Milestone Tracker – IHP'!$E:$E,99)),"",INDEX('Milestone Tracker – IHP'!$E:$E,99))</f>
        <v/>
      </c>
      <c r="F97" t="str">
        <f>IF(ISBLANK(INDEX('Milestone Tracker – IHP'!$F:$F,99)),"",INDEX('Milestone Tracker – IHP'!$F:$F,99))</f>
        <v/>
      </c>
      <c r="G97" t="e">
        <f>IF(ISBLANK(INDEX('Milestone Tracker – IHP'!#REF!,99)),"",INDEX('Milestone Tracker – IHP'!#REF!,99))</f>
        <v>#REF!</v>
      </c>
      <c r="H97" t="str">
        <f>IF(ISBLANK(INDEX('Milestone Tracker – IHP'!$G:$G,99)),"",INDEX('Milestone Tracker – IHP'!$G:$G,99))</f>
        <v/>
      </c>
      <c r="I97" t="str">
        <f>IF(ISBLANK(INDEX('Milestone Tracker – IHP'!$H:$H,99)),"",INDEX('Milestone Tracker – IHP'!$H:$H,99))</f>
        <v/>
      </c>
      <c r="J97" t="e">
        <f>IF(ISBLANK(INDEX('Milestone Tracker – IHP'!#REF!,99)),"",INDEX('Milestone Tracker – IHP'!#REF!,99))</f>
        <v>#REF!</v>
      </c>
      <c r="K97">
        <f t="shared" si="2"/>
        <v>0</v>
      </c>
      <c r="L97">
        <f t="shared" si="3"/>
        <v>0</v>
      </c>
    </row>
    <row r="98" spans="1:12" x14ac:dyDescent="0.35">
      <c r="A98">
        <v>100</v>
      </c>
      <c r="B98">
        <f>IF(ISBLANK(INDEX('Milestone Tracker – IHP'!$B:$B,100)),B97,INDEX('Milestone Tracker – IHP'!$B:$B,100))</f>
        <v>0</v>
      </c>
      <c r="C98">
        <f>IF(ISBLANK(INDEX('Milestone Tracker – IHP'!$C:$C,100)),C97,INDEX('Milestone Tracker – IHP'!$C:$C,100))</f>
        <v>0</v>
      </c>
      <c r="D98">
        <f>IF(ISBLANK(INDEX('Milestone Tracker – IHP'!$D:$D,100)),D97,INDEX('Milestone Tracker – IHP'!$D:$D,100))</f>
        <v>0</v>
      </c>
      <c r="E98" t="str">
        <f>IF(ISBLANK(INDEX('Milestone Tracker – IHP'!$E:$E,100)),"",INDEX('Milestone Tracker – IHP'!$E:$E,100))</f>
        <v/>
      </c>
      <c r="F98" t="str">
        <f>IF(ISBLANK(INDEX('Milestone Tracker – IHP'!$F:$F,100)),"",INDEX('Milestone Tracker – IHP'!$F:$F,100))</f>
        <v/>
      </c>
      <c r="G98" t="e">
        <f>IF(ISBLANK(INDEX('Milestone Tracker – IHP'!#REF!,100)),"",INDEX('Milestone Tracker – IHP'!#REF!,100))</f>
        <v>#REF!</v>
      </c>
      <c r="H98" t="str">
        <f>IF(ISBLANK(INDEX('Milestone Tracker – IHP'!$G:$G,100)),"",INDEX('Milestone Tracker – IHP'!$G:$G,100))</f>
        <v/>
      </c>
      <c r="I98" t="str">
        <f>IF(ISBLANK(INDEX('Milestone Tracker – IHP'!$H:$H,100)),"",INDEX('Milestone Tracker – IHP'!$H:$H,100))</f>
        <v/>
      </c>
      <c r="J98" t="e">
        <f>IF(ISBLANK(INDEX('Milestone Tracker – IHP'!#REF!,100)),"",INDEX('Milestone Tracker – IHP'!#REF!,100))</f>
        <v>#REF!</v>
      </c>
      <c r="K98">
        <f t="shared" si="2"/>
        <v>0</v>
      </c>
      <c r="L98">
        <f t="shared" si="3"/>
        <v>0</v>
      </c>
    </row>
    <row r="99" spans="1:12" x14ac:dyDescent="0.35">
      <c r="A99">
        <v>101</v>
      </c>
      <c r="B99">
        <f>IF(ISBLANK(INDEX('Milestone Tracker – IHP'!$B:$B,101)),B98,INDEX('Milestone Tracker – IHP'!$B:$B,101))</f>
        <v>0</v>
      </c>
      <c r="C99">
        <f>IF(ISBLANK(INDEX('Milestone Tracker – IHP'!$C:$C,101)),C98,INDEX('Milestone Tracker – IHP'!$C:$C,101))</f>
        <v>0</v>
      </c>
      <c r="D99">
        <f>IF(ISBLANK(INDEX('Milestone Tracker – IHP'!$D:$D,101)),D98,INDEX('Milestone Tracker – IHP'!$D:$D,101))</f>
        <v>0</v>
      </c>
      <c r="E99" t="str">
        <f>IF(ISBLANK(INDEX('Milestone Tracker – IHP'!$E:$E,101)),"",INDEX('Milestone Tracker – IHP'!$E:$E,101))</f>
        <v/>
      </c>
      <c r="F99" t="str">
        <f>IF(ISBLANK(INDEX('Milestone Tracker – IHP'!$F:$F,101)),"",INDEX('Milestone Tracker – IHP'!$F:$F,101))</f>
        <v/>
      </c>
      <c r="G99" t="e">
        <f>IF(ISBLANK(INDEX('Milestone Tracker – IHP'!#REF!,101)),"",INDEX('Milestone Tracker – IHP'!#REF!,101))</f>
        <v>#REF!</v>
      </c>
      <c r="H99" t="str">
        <f>IF(ISBLANK(INDEX('Milestone Tracker – IHP'!$G:$G,101)),"",INDEX('Milestone Tracker – IHP'!$G:$G,101))</f>
        <v/>
      </c>
      <c r="I99" t="str">
        <f>IF(ISBLANK(INDEX('Milestone Tracker – IHP'!$H:$H,101)),"",INDEX('Milestone Tracker – IHP'!$H:$H,101))</f>
        <v/>
      </c>
      <c r="J99" t="e">
        <f>IF(ISBLANK(INDEX('Milestone Tracker – IHP'!#REF!,101)),"",INDEX('Milestone Tracker – IHP'!#REF!,101))</f>
        <v>#REF!</v>
      </c>
      <c r="K99">
        <f t="shared" si="2"/>
        <v>0</v>
      </c>
      <c r="L99">
        <f t="shared" si="3"/>
        <v>0</v>
      </c>
    </row>
    <row r="100" spans="1:12" x14ac:dyDescent="0.35">
      <c r="A100">
        <v>102</v>
      </c>
      <c r="B100">
        <f>IF(ISBLANK(INDEX('Milestone Tracker – IHP'!$B:$B,102)),B99,INDEX('Milestone Tracker – IHP'!$B:$B,102))</f>
        <v>0</v>
      </c>
      <c r="C100">
        <f>IF(ISBLANK(INDEX('Milestone Tracker – IHP'!$C:$C,102)),C99,INDEX('Milestone Tracker – IHP'!$C:$C,102))</f>
        <v>0</v>
      </c>
      <c r="D100">
        <f>IF(ISBLANK(INDEX('Milestone Tracker – IHP'!$D:$D,102)),D99,INDEX('Milestone Tracker – IHP'!$D:$D,102))</f>
        <v>0</v>
      </c>
      <c r="E100" t="str">
        <f>IF(ISBLANK(INDEX('Milestone Tracker – IHP'!$E:$E,102)),"",INDEX('Milestone Tracker – IHP'!$E:$E,102))</f>
        <v/>
      </c>
      <c r="F100" t="str">
        <f>IF(ISBLANK(INDEX('Milestone Tracker – IHP'!$F:$F,102)),"",INDEX('Milestone Tracker – IHP'!$F:$F,102))</f>
        <v/>
      </c>
      <c r="G100" t="e">
        <f>IF(ISBLANK(INDEX('Milestone Tracker – IHP'!#REF!,102)),"",INDEX('Milestone Tracker – IHP'!#REF!,102))</f>
        <v>#REF!</v>
      </c>
      <c r="H100" t="str">
        <f>IF(ISBLANK(INDEX('Milestone Tracker – IHP'!$G:$G,102)),"",INDEX('Milestone Tracker – IHP'!$G:$G,102))</f>
        <v/>
      </c>
      <c r="I100" t="str">
        <f>IF(ISBLANK(INDEX('Milestone Tracker – IHP'!$H:$H,102)),"",INDEX('Milestone Tracker – IHP'!$H:$H,102))</f>
        <v/>
      </c>
      <c r="J100" t="e">
        <f>IF(ISBLANK(INDEX('Milestone Tracker – IHP'!#REF!,102)),"",INDEX('Milestone Tracker – IHP'!#REF!,102))</f>
        <v>#REF!</v>
      </c>
      <c r="K100">
        <f t="shared" si="2"/>
        <v>0</v>
      </c>
      <c r="L100">
        <f t="shared" si="3"/>
        <v>0</v>
      </c>
    </row>
    <row r="101" spans="1:12" x14ac:dyDescent="0.35">
      <c r="A101">
        <v>103</v>
      </c>
      <c r="B101">
        <f>IF(ISBLANK(INDEX('Milestone Tracker – IHP'!$B:$B,103)),B100,INDEX('Milestone Tracker – IHP'!$B:$B,103))</f>
        <v>0</v>
      </c>
      <c r="C101">
        <f>IF(ISBLANK(INDEX('Milestone Tracker – IHP'!$C:$C,103)),C100,INDEX('Milestone Tracker – IHP'!$C:$C,103))</f>
        <v>0</v>
      </c>
      <c r="D101">
        <f>IF(ISBLANK(INDEX('Milestone Tracker – IHP'!$D:$D,103)),D100,INDEX('Milestone Tracker – IHP'!$D:$D,103))</f>
        <v>0</v>
      </c>
      <c r="E101" t="str">
        <f>IF(ISBLANK(INDEX('Milestone Tracker – IHP'!$E:$E,103)),"",INDEX('Milestone Tracker – IHP'!$E:$E,103))</f>
        <v/>
      </c>
      <c r="F101" t="str">
        <f>IF(ISBLANK(INDEX('Milestone Tracker – IHP'!$F:$F,103)),"",INDEX('Milestone Tracker – IHP'!$F:$F,103))</f>
        <v/>
      </c>
      <c r="G101" t="e">
        <f>IF(ISBLANK(INDEX('Milestone Tracker – IHP'!#REF!,103)),"",INDEX('Milestone Tracker – IHP'!#REF!,103))</f>
        <v>#REF!</v>
      </c>
      <c r="H101" t="str">
        <f>IF(ISBLANK(INDEX('Milestone Tracker – IHP'!$G:$G,103)),"",INDEX('Milestone Tracker – IHP'!$G:$G,103))</f>
        <v/>
      </c>
      <c r="I101" t="str">
        <f>IF(ISBLANK(INDEX('Milestone Tracker – IHP'!$H:$H,103)),"",INDEX('Milestone Tracker – IHP'!$H:$H,103))</f>
        <v/>
      </c>
      <c r="J101" t="e">
        <f>IF(ISBLANK(INDEX('Milestone Tracker – IHP'!#REF!,103)),"",INDEX('Milestone Tracker – IHP'!#REF!,103))</f>
        <v>#REF!</v>
      </c>
      <c r="K101">
        <f t="shared" si="2"/>
        <v>0</v>
      </c>
      <c r="L101">
        <f t="shared" si="3"/>
        <v>0</v>
      </c>
    </row>
    <row r="102" spans="1:12" x14ac:dyDescent="0.35">
      <c r="A102">
        <v>104</v>
      </c>
      <c r="B102">
        <f>IF(ISBLANK(INDEX('Milestone Tracker – IHP'!$B:$B,104)),B101,INDEX('Milestone Tracker – IHP'!$B:$B,104))</f>
        <v>0</v>
      </c>
      <c r="C102">
        <f>IF(ISBLANK(INDEX('Milestone Tracker – IHP'!$C:$C,104)),C101,INDEX('Milestone Tracker – IHP'!$C:$C,104))</f>
        <v>0</v>
      </c>
      <c r="D102">
        <f>IF(ISBLANK(INDEX('Milestone Tracker – IHP'!$D:$D,104)),D101,INDEX('Milestone Tracker – IHP'!$D:$D,104))</f>
        <v>0</v>
      </c>
      <c r="E102" t="str">
        <f>IF(ISBLANK(INDEX('Milestone Tracker – IHP'!$E:$E,104)),"",INDEX('Milestone Tracker – IHP'!$E:$E,104))</f>
        <v/>
      </c>
      <c r="F102" t="str">
        <f>IF(ISBLANK(INDEX('Milestone Tracker – IHP'!$F:$F,104)),"",INDEX('Milestone Tracker – IHP'!$F:$F,104))</f>
        <v/>
      </c>
      <c r="G102" t="e">
        <f>IF(ISBLANK(INDEX('Milestone Tracker – IHP'!#REF!,104)),"",INDEX('Milestone Tracker – IHP'!#REF!,104))</f>
        <v>#REF!</v>
      </c>
      <c r="H102" t="str">
        <f>IF(ISBLANK(INDEX('Milestone Tracker – IHP'!$G:$G,104)),"",INDEX('Milestone Tracker – IHP'!$G:$G,104))</f>
        <v/>
      </c>
      <c r="I102" t="str">
        <f>IF(ISBLANK(INDEX('Milestone Tracker – IHP'!$H:$H,104)),"",INDEX('Milestone Tracker – IHP'!$H:$H,104))</f>
        <v/>
      </c>
      <c r="J102" t="e">
        <f>IF(ISBLANK(INDEX('Milestone Tracker – IHP'!#REF!,104)),"",INDEX('Milestone Tracker – IHP'!#REF!,104))</f>
        <v>#REF!</v>
      </c>
      <c r="K102">
        <f t="shared" si="2"/>
        <v>0</v>
      </c>
      <c r="L102">
        <f t="shared" si="3"/>
        <v>0</v>
      </c>
    </row>
    <row r="103" spans="1:12" x14ac:dyDescent="0.35">
      <c r="A103">
        <v>105</v>
      </c>
      <c r="B103">
        <f>IF(ISBLANK(INDEX('Milestone Tracker – IHP'!$B:$B,105)),B102,INDEX('Milestone Tracker – IHP'!$B:$B,105))</f>
        <v>0</v>
      </c>
      <c r="C103">
        <f>IF(ISBLANK(INDEX('Milestone Tracker – IHP'!$C:$C,105)),C102,INDEX('Milestone Tracker – IHP'!$C:$C,105))</f>
        <v>0</v>
      </c>
      <c r="D103">
        <f>IF(ISBLANK(INDEX('Milestone Tracker – IHP'!$D:$D,105)),D102,INDEX('Milestone Tracker – IHP'!$D:$D,105))</f>
        <v>0</v>
      </c>
      <c r="E103" t="str">
        <f>IF(ISBLANK(INDEX('Milestone Tracker – IHP'!$E:$E,105)),"",INDEX('Milestone Tracker – IHP'!$E:$E,105))</f>
        <v/>
      </c>
      <c r="F103" t="str">
        <f>IF(ISBLANK(INDEX('Milestone Tracker – IHP'!$F:$F,105)),"",INDEX('Milestone Tracker – IHP'!$F:$F,105))</f>
        <v/>
      </c>
      <c r="G103" t="e">
        <f>IF(ISBLANK(INDEX('Milestone Tracker – IHP'!#REF!,105)),"",INDEX('Milestone Tracker – IHP'!#REF!,105))</f>
        <v>#REF!</v>
      </c>
      <c r="H103" t="str">
        <f>IF(ISBLANK(INDEX('Milestone Tracker – IHP'!$G:$G,105)),"",INDEX('Milestone Tracker – IHP'!$G:$G,105))</f>
        <v/>
      </c>
      <c r="I103" t="str">
        <f>IF(ISBLANK(INDEX('Milestone Tracker – IHP'!$H:$H,105)),"",INDEX('Milestone Tracker – IHP'!$H:$H,105))</f>
        <v/>
      </c>
      <c r="J103" t="e">
        <f>IF(ISBLANK(INDEX('Milestone Tracker – IHP'!#REF!,105)),"",INDEX('Milestone Tracker – IHP'!#REF!,105))</f>
        <v>#REF!</v>
      </c>
      <c r="K103">
        <f t="shared" si="2"/>
        <v>0</v>
      </c>
      <c r="L103">
        <f t="shared" si="3"/>
        <v>0</v>
      </c>
    </row>
    <row r="104" spans="1:12" x14ac:dyDescent="0.35">
      <c r="A104">
        <v>106</v>
      </c>
      <c r="B104">
        <f>IF(ISBLANK(INDEX('Milestone Tracker – IHP'!$B:$B,106)),B103,INDEX('Milestone Tracker – IHP'!$B:$B,106))</f>
        <v>0</v>
      </c>
      <c r="C104">
        <f>IF(ISBLANK(INDEX('Milestone Tracker – IHP'!$C:$C,106)),C103,INDEX('Milestone Tracker – IHP'!$C:$C,106))</f>
        <v>0</v>
      </c>
      <c r="D104">
        <f>IF(ISBLANK(INDEX('Milestone Tracker – IHP'!$D:$D,106)),D103,INDEX('Milestone Tracker – IHP'!$D:$D,106))</f>
        <v>0</v>
      </c>
      <c r="E104" t="str">
        <f>IF(ISBLANK(INDEX('Milestone Tracker – IHP'!$E:$E,106)),"",INDEX('Milestone Tracker – IHP'!$E:$E,106))</f>
        <v/>
      </c>
      <c r="F104" t="str">
        <f>IF(ISBLANK(INDEX('Milestone Tracker – IHP'!$F:$F,106)),"",INDEX('Milestone Tracker – IHP'!$F:$F,106))</f>
        <v/>
      </c>
      <c r="G104" t="e">
        <f>IF(ISBLANK(INDEX('Milestone Tracker – IHP'!#REF!,106)),"",INDEX('Milestone Tracker – IHP'!#REF!,106))</f>
        <v>#REF!</v>
      </c>
      <c r="H104" t="str">
        <f>IF(ISBLANK(INDEX('Milestone Tracker – IHP'!$G:$G,106)),"",INDEX('Milestone Tracker – IHP'!$G:$G,106))</f>
        <v/>
      </c>
      <c r="I104" t="str">
        <f>IF(ISBLANK(INDEX('Milestone Tracker – IHP'!$H:$H,106)),"",INDEX('Milestone Tracker – IHP'!$H:$H,106))</f>
        <v/>
      </c>
      <c r="J104" t="e">
        <f>IF(ISBLANK(INDEX('Milestone Tracker – IHP'!#REF!,106)),"",INDEX('Milestone Tracker – IHP'!#REF!,106))</f>
        <v>#REF!</v>
      </c>
      <c r="K104">
        <f t="shared" si="2"/>
        <v>0</v>
      </c>
      <c r="L104">
        <f t="shared" si="3"/>
        <v>0</v>
      </c>
    </row>
    <row r="105" spans="1:12" x14ac:dyDescent="0.35">
      <c r="A105">
        <v>107</v>
      </c>
      <c r="B105">
        <f>IF(ISBLANK(INDEX('Milestone Tracker – IHP'!$B:$B,107)),B104,INDEX('Milestone Tracker – IHP'!$B:$B,107))</f>
        <v>0</v>
      </c>
      <c r="C105">
        <f>IF(ISBLANK(INDEX('Milestone Tracker – IHP'!$C:$C,107)),C104,INDEX('Milestone Tracker – IHP'!$C:$C,107))</f>
        <v>0</v>
      </c>
      <c r="D105">
        <f>IF(ISBLANK(INDEX('Milestone Tracker – IHP'!$D:$D,107)),D104,INDEX('Milestone Tracker – IHP'!$D:$D,107))</f>
        <v>0</v>
      </c>
      <c r="E105" t="str">
        <f>IF(ISBLANK(INDEX('Milestone Tracker – IHP'!$E:$E,107)),"",INDEX('Milestone Tracker – IHP'!$E:$E,107))</f>
        <v/>
      </c>
      <c r="F105" t="str">
        <f>IF(ISBLANK(INDEX('Milestone Tracker – IHP'!$F:$F,107)),"",INDEX('Milestone Tracker – IHP'!$F:$F,107))</f>
        <v/>
      </c>
      <c r="G105" t="e">
        <f>IF(ISBLANK(INDEX('Milestone Tracker – IHP'!#REF!,107)),"",INDEX('Milestone Tracker – IHP'!#REF!,107))</f>
        <v>#REF!</v>
      </c>
      <c r="H105" t="str">
        <f>IF(ISBLANK(INDEX('Milestone Tracker – IHP'!$G:$G,107)),"",INDEX('Milestone Tracker – IHP'!$G:$G,107))</f>
        <v/>
      </c>
      <c r="I105" t="str">
        <f>IF(ISBLANK(INDEX('Milestone Tracker – IHP'!$H:$H,107)),"",INDEX('Milestone Tracker – IHP'!$H:$H,107))</f>
        <v/>
      </c>
      <c r="J105" t="e">
        <f>IF(ISBLANK(INDEX('Milestone Tracker – IHP'!#REF!,107)),"",INDEX('Milestone Tracker – IHP'!#REF!,107))</f>
        <v>#REF!</v>
      </c>
      <c r="K105">
        <f t="shared" si="2"/>
        <v>0</v>
      </c>
      <c r="L105">
        <f t="shared" si="3"/>
        <v>0</v>
      </c>
    </row>
    <row r="106" spans="1:12" x14ac:dyDescent="0.35">
      <c r="A106">
        <v>108</v>
      </c>
      <c r="B106">
        <f>IF(ISBLANK(INDEX('Milestone Tracker – IHP'!$B:$B,108)),B105,INDEX('Milestone Tracker – IHP'!$B:$B,108))</f>
        <v>0</v>
      </c>
      <c r="C106">
        <f>IF(ISBLANK(INDEX('Milestone Tracker – IHP'!$C:$C,108)),C105,INDEX('Milestone Tracker – IHP'!$C:$C,108))</f>
        <v>0</v>
      </c>
      <c r="D106">
        <f>IF(ISBLANK(INDEX('Milestone Tracker – IHP'!$D:$D,108)),D105,INDEX('Milestone Tracker – IHP'!$D:$D,108))</f>
        <v>0</v>
      </c>
      <c r="E106" t="str">
        <f>IF(ISBLANK(INDEX('Milestone Tracker – IHP'!$E:$E,108)),"",INDEX('Milestone Tracker – IHP'!$E:$E,108))</f>
        <v/>
      </c>
      <c r="F106" t="str">
        <f>IF(ISBLANK(INDEX('Milestone Tracker – IHP'!$F:$F,108)),"",INDEX('Milestone Tracker – IHP'!$F:$F,108))</f>
        <v/>
      </c>
      <c r="G106" t="e">
        <f>IF(ISBLANK(INDEX('Milestone Tracker – IHP'!#REF!,108)),"",INDEX('Milestone Tracker – IHP'!#REF!,108))</f>
        <v>#REF!</v>
      </c>
      <c r="H106" t="str">
        <f>IF(ISBLANK(INDEX('Milestone Tracker – IHP'!$G:$G,108)),"",INDEX('Milestone Tracker – IHP'!$G:$G,108))</f>
        <v/>
      </c>
      <c r="I106" t="str">
        <f>IF(ISBLANK(INDEX('Milestone Tracker – IHP'!$H:$H,108)),"",INDEX('Milestone Tracker – IHP'!$H:$H,108))</f>
        <v/>
      </c>
      <c r="J106" t="e">
        <f>IF(ISBLANK(INDEX('Milestone Tracker – IHP'!#REF!,108)),"",INDEX('Milestone Tracker – IHP'!#REF!,108))</f>
        <v>#REF!</v>
      </c>
      <c r="K106">
        <f t="shared" si="2"/>
        <v>0</v>
      </c>
      <c r="L106">
        <f t="shared" si="3"/>
        <v>0</v>
      </c>
    </row>
    <row r="107" spans="1:12" x14ac:dyDescent="0.35">
      <c r="A107">
        <v>109</v>
      </c>
      <c r="B107">
        <f>IF(ISBLANK(INDEX('Milestone Tracker – IHP'!$B:$B,109)),B106,INDEX('Milestone Tracker – IHP'!$B:$B,109))</f>
        <v>0</v>
      </c>
      <c r="C107">
        <f>IF(ISBLANK(INDEX('Milestone Tracker – IHP'!$C:$C,109)),C106,INDEX('Milestone Tracker – IHP'!$C:$C,109))</f>
        <v>0</v>
      </c>
      <c r="D107">
        <f>IF(ISBLANK(INDEX('Milestone Tracker – IHP'!$D:$D,109)),D106,INDEX('Milestone Tracker – IHP'!$D:$D,109))</f>
        <v>0</v>
      </c>
      <c r="E107" t="str">
        <f>IF(ISBLANK(INDEX('Milestone Tracker – IHP'!$E:$E,109)),"",INDEX('Milestone Tracker – IHP'!$E:$E,109))</f>
        <v/>
      </c>
      <c r="F107" t="str">
        <f>IF(ISBLANK(INDEX('Milestone Tracker – IHP'!$F:$F,109)),"",INDEX('Milestone Tracker – IHP'!$F:$F,109))</f>
        <v/>
      </c>
      <c r="G107" t="e">
        <f>IF(ISBLANK(INDEX('Milestone Tracker – IHP'!#REF!,109)),"",INDEX('Milestone Tracker – IHP'!#REF!,109))</f>
        <v>#REF!</v>
      </c>
      <c r="H107" t="str">
        <f>IF(ISBLANK(INDEX('Milestone Tracker – IHP'!$G:$G,109)),"",INDEX('Milestone Tracker – IHP'!$G:$G,109))</f>
        <v/>
      </c>
      <c r="I107" t="str">
        <f>IF(ISBLANK(INDEX('Milestone Tracker – IHP'!$H:$H,109)),"",INDEX('Milestone Tracker – IHP'!$H:$H,109))</f>
        <v/>
      </c>
      <c r="J107" t="e">
        <f>IF(ISBLANK(INDEX('Milestone Tracker – IHP'!#REF!,109)),"",INDEX('Milestone Tracker – IHP'!#REF!,109))</f>
        <v>#REF!</v>
      </c>
      <c r="K107">
        <f t="shared" si="2"/>
        <v>0</v>
      </c>
      <c r="L107">
        <f t="shared" si="3"/>
        <v>0</v>
      </c>
    </row>
    <row r="108" spans="1:12" x14ac:dyDescent="0.35">
      <c r="A108">
        <v>110</v>
      </c>
      <c r="B108">
        <f>IF(ISBLANK(INDEX('Milestone Tracker – IHP'!$B:$B,110)),B107,INDEX('Milestone Tracker – IHP'!$B:$B,110))</f>
        <v>0</v>
      </c>
      <c r="C108">
        <f>IF(ISBLANK(INDEX('Milestone Tracker – IHP'!$C:$C,110)),C107,INDEX('Milestone Tracker – IHP'!$C:$C,110))</f>
        <v>0</v>
      </c>
      <c r="D108">
        <f>IF(ISBLANK(INDEX('Milestone Tracker – IHP'!$D:$D,110)),D107,INDEX('Milestone Tracker – IHP'!$D:$D,110))</f>
        <v>0</v>
      </c>
      <c r="E108" t="str">
        <f>IF(ISBLANK(INDEX('Milestone Tracker – IHP'!$E:$E,110)),"",INDEX('Milestone Tracker – IHP'!$E:$E,110))</f>
        <v/>
      </c>
      <c r="F108" t="str">
        <f>IF(ISBLANK(INDEX('Milestone Tracker – IHP'!$F:$F,110)),"",INDEX('Milestone Tracker – IHP'!$F:$F,110))</f>
        <v/>
      </c>
      <c r="G108" t="e">
        <f>IF(ISBLANK(INDEX('Milestone Tracker – IHP'!#REF!,110)),"",INDEX('Milestone Tracker – IHP'!#REF!,110))</f>
        <v>#REF!</v>
      </c>
      <c r="H108" t="str">
        <f>IF(ISBLANK(INDEX('Milestone Tracker – IHP'!$G:$G,110)),"",INDEX('Milestone Tracker – IHP'!$G:$G,110))</f>
        <v/>
      </c>
      <c r="I108" t="str">
        <f>IF(ISBLANK(INDEX('Milestone Tracker – IHP'!$H:$H,110)),"",INDEX('Milestone Tracker – IHP'!$H:$H,110))</f>
        <v/>
      </c>
      <c r="J108" t="e">
        <f>IF(ISBLANK(INDEX('Milestone Tracker – IHP'!#REF!,110)),"",INDEX('Milestone Tracker – IHP'!#REF!,110))</f>
        <v>#REF!</v>
      </c>
      <c r="K108">
        <f t="shared" si="2"/>
        <v>0</v>
      </c>
      <c r="L108">
        <f t="shared" si="3"/>
        <v>0</v>
      </c>
    </row>
    <row r="109" spans="1:12" x14ac:dyDescent="0.35">
      <c r="A109">
        <v>111</v>
      </c>
      <c r="B109">
        <f>IF(ISBLANK(INDEX('Milestone Tracker – IHP'!$B:$B,111)),B108,INDEX('Milestone Tracker – IHP'!$B:$B,111))</f>
        <v>0</v>
      </c>
      <c r="C109">
        <f>IF(ISBLANK(INDEX('Milestone Tracker – IHP'!$C:$C,111)),C108,INDEX('Milestone Tracker – IHP'!$C:$C,111))</f>
        <v>0</v>
      </c>
      <c r="D109">
        <f>IF(ISBLANK(INDEX('Milestone Tracker – IHP'!$D:$D,111)),D108,INDEX('Milestone Tracker – IHP'!$D:$D,111))</f>
        <v>0</v>
      </c>
      <c r="E109" t="str">
        <f>IF(ISBLANK(INDEX('Milestone Tracker – IHP'!$E:$E,111)),"",INDEX('Milestone Tracker – IHP'!$E:$E,111))</f>
        <v/>
      </c>
      <c r="F109" t="str">
        <f>IF(ISBLANK(INDEX('Milestone Tracker – IHP'!$F:$F,111)),"",INDEX('Milestone Tracker – IHP'!$F:$F,111))</f>
        <v/>
      </c>
      <c r="G109" t="e">
        <f>IF(ISBLANK(INDEX('Milestone Tracker – IHP'!#REF!,111)),"",INDEX('Milestone Tracker – IHP'!#REF!,111))</f>
        <v>#REF!</v>
      </c>
      <c r="H109" t="str">
        <f>IF(ISBLANK(INDEX('Milestone Tracker – IHP'!$G:$G,111)),"",INDEX('Milestone Tracker – IHP'!$G:$G,111))</f>
        <v/>
      </c>
      <c r="I109" t="str">
        <f>IF(ISBLANK(INDEX('Milestone Tracker – IHP'!$H:$H,111)),"",INDEX('Milestone Tracker – IHP'!$H:$H,111))</f>
        <v/>
      </c>
      <c r="J109" t="e">
        <f>IF(ISBLANK(INDEX('Milestone Tracker – IHP'!#REF!,111)),"",INDEX('Milestone Tracker – IHP'!#REF!,111))</f>
        <v>#REF!</v>
      </c>
      <c r="K109">
        <f t="shared" si="2"/>
        <v>0</v>
      </c>
      <c r="L109">
        <f t="shared" si="3"/>
        <v>0</v>
      </c>
    </row>
    <row r="110" spans="1:12" x14ac:dyDescent="0.35">
      <c r="A110">
        <v>112</v>
      </c>
      <c r="B110">
        <f>IF(ISBLANK(INDEX('Milestone Tracker – IHP'!$B:$B,112)),B109,INDEX('Milestone Tracker – IHP'!$B:$B,112))</f>
        <v>0</v>
      </c>
      <c r="C110">
        <f>IF(ISBLANK(INDEX('Milestone Tracker – IHP'!$C:$C,112)),C109,INDEX('Milestone Tracker – IHP'!$C:$C,112))</f>
        <v>0</v>
      </c>
      <c r="D110">
        <f>IF(ISBLANK(INDEX('Milestone Tracker – IHP'!$D:$D,112)),D109,INDEX('Milestone Tracker – IHP'!$D:$D,112))</f>
        <v>0</v>
      </c>
      <c r="E110" t="str">
        <f>IF(ISBLANK(INDEX('Milestone Tracker – IHP'!$E:$E,112)),"",INDEX('Milestone Tracker – IHP'!$E:$E,112))</f>
        <v/>
      </c>
      <c r="F110" t="str">
        <f>IF(ISBLANK(INDEX('Milestone Tracker – IHP'!$F:$F,112)),"",INDEX('Milestone Tracker – IHP'!$F:$F,112))</f>
        <v/>
      </c>
      <c r="G110" t="e">
        <f>IF(ISBLANK(INDEX('Milestone Tracker – IHP'!#REF!,112)),"",INDEX('Milestone Tracker – IHP'!#REF!,112))</f>
        <v>#REF!</v>
      </c>
      <c r="H110" t="str">
        <f>IF(ISBLANK(INDEX('Milestone Tracker – IHP'!$G:$G,112)),"",INDEX('Milestone Tracker – IHP'!$G:$G,112))</f>
        <v/>
      </c>
      <c r="I110" t="str">
        <f>IF(ISBLANK(INDEX('Milestone Tracker – IHP'!$H:$H,112)),"",INDEX('Milestone Tracker – IHP'!$H:$H,112))</f>
        <v/>
      </c>
      <c r="J110" t="e">
        <f>IF(ISBLANK(INDEX('Milestone Tracker – IHP'!#REF!,112)),"",INDEX('Milestone Tracker – IHP'!#REF!,112))</f>
        <v>#REF!</v>
      </c>
      <c r="K110">
        <f t="shared" si="2"/>
        <v>0</v>
      </c>
      <c r="L110">
        <f t="shared" si="3"/>
        <v>0</v>
      </c>
    </row>
    <row r="111" spans="1:12" x14ac:dyDescent="0.35">
      <c r="A111">
        <v>113</v>
      </c>
      <c r="B111">
        <f>IF(ISBLANK(INDEX('Milestone Tracker – IHP'!$B:$B,113)),B110,INDEX('Milestone Tracker – IHP'!$B:$B,113))</f>
        <v>0</v>
      </c>
      <c r="C111">
        <f>IF(ISBLANK(INDEX('Milestone Tracker – IHP'!$C:$C,113)),C110,INDEX('Milestone Tracker – IHP'!$C:$C,113))</f>
        <v>0</v>
      </c>
      <c r="D111">
        <f>IF(ISBLANK(INDEX('Milestone Tracker – IHP'!$D:$D,113)),D110,INDEX('Milestone Tracker – IHP'!$D:$D,113))</f>
        <v>0</v>
      </c>
      <c r="E111" t="str">
        <f>IF(ISBLANK(INDEX('Milestone Tracker – IHP'!$E:$E,113)),"",INDEX('Milestone Tracker – IHP'!$E:$E,113))</f>
        <v/>
      </c>
      <c r="F111" t="str">
        <f>IF(ISBLANK(INDEX('Milestone Tracker – IHP'!$F:$F,113)),"",INDEX('Milestone Tracker – IHP'!$F:$F,113))</f>
        <v/>
      </c>
      <c r="G111" t="e">
        <f>IF(ISBLANK(INDEX('Milestone Tracker – IHP'!#REF!,113)),"",INDEX('Milestone Tracker – IHP'!#REF!,113))</f>
        <v>#REF!</v>
      </c>
      <c r="H111" t="str">
        <f>IF(ISBLANK(INDEX('Milestone Tracker – IHP'!$G:$G,113)),"",INDEX('Milestone Tracker – IHP'!$G:$G,113))</f>
        <v/>
      </c>
      <c r="I111" t="str">
        <f>IF(ISBLANK(INDEX('Milestone Tracker – IHP'!$H:$H,113)),"",INDEX('Milestone Tracker – IHP'!$H:$H,113))</f>
        <v/>
      </c>
      <c r="J111" t="e">
        <f>IF(ISBLANK(INDEX('Milestone Tracker – IHP'!#REF!,113)),"",INDEX('Milestone Tracker – IHP'!#REF!,113))</f>
        <v>#REF!</v>
      </c>
      <c r="K111">
        <f t="shared" si="2"/>
        <v>0</v>
      </c>
      <c r="L111">
        <f t="shared" si="3"/>
        <v>0</v>
      </c>
    </row>
    <row r="112" spans="1:12" x14ac:dyDescent="0.35">
      <c r="A112">
        <v>114</v>
      </c>
      <c r="B112">
        <f>IF(ISBLANK(INDEX('Milestone Tracker – IHP'!$B:$B,114)),B111,INDEX('Milestone Tracker – IHP'!$B:$B,114))</f>
        <v>0</v>
      </c>
      <c r="C112">
        <f>IF(ISBLANK(INDEX('Milestone Tracker – IHP'!$C:$C,114)),C111,INDEX('Milestone Tracker – IHP'!$C:$C,114))</f>
        <v>0</v>
      </c>
      <c r="D112">
        <f>IF(ISBLANK(INDEX('Milestone Tracker – IHP'!$D:$D,114)),D111,INDEX('Milestone Tracker – IHP'!$D:$D,114))</f>
        <v>0</v>
      </c>
      <c r="E112" t="str">
        <f>IF(ISBLANK(INDEX('Milestone Tracker – IHP'!$E:$E,114)),"",INDEX('Milestone Tracker – IHP'!$E:$E,114))</f>
        <v/>
      </c>
      <c r="F112" t="str">
        <f>IF(ISBLANK(INDEX('Milestone Tracker – IHP'!$F:$F,114)),"",INDEX('Milestone Tracker – IHP'!$F:$F,114))</f>
        <v/>
      </c>
      <c r="G112" t="e">
        <f>IF(ISBLANK(INDEX('Milestone Tracker – IHP'!#REF!,114)),"",INDEX('Milestone Tracker – IHP'!#REF!,114))</f>
        <v>#REF!</v>
      </c>
      <c r="H112" t="str">
        <f>IF(ISBLANK(INDEX('Milestone Tracker – IHP'!$G:$G,114)),"",INDEX('Milestone Tracker – IHP'!$G:$G,114))</f>
        <v/>
      </c>
      <c r="I112" t="str">
        <f>IF(ISBLANK(INDEX('Milestone Tracker – IHP'!$H:$H,114)),"",INDEX('Milestone Tracker – IHP'!$H:$H,114))</f>
        <v/>
      </c>
      <c r="J112" t="e">
        <f>IF(ISBLANK(INDEX('Milestone Tracker – IHP'!#REF!,114)),"",INDEX('Milestone Tracker – IHP'!#REF!,114))</f>
        <v>#REF!</v>
      </c>
      <c r="K112">
        <f t="shared" si="2"/>
        <v>0</v>
      </c>
      <c r="L112">
        <f t="shared" si="3"/>
        <v>0</v>
      </c>
    </row>
    <row r="113" spans="1:12" x14ac:dyDescent="0.35">
      <c r="A113">
        <v>115</v>
      </c>
      <c r="B113">
        <f>IF(ISBLANK(INDEX('Milestone Tracker – IHP'!$B:$B,115)),B112,INDEX('Milestone Tracker – IHP'!$B:$B,115))</f>
        <v>0</v>
      </c>
      <c r="C113">
        <f>IF(ISBLANK(INDEX('Milestone Tracker – IHP'!$C:$C,115)),C112,INDEX('Milestone Tracker – IHP'!$C:$C,115))</f>
        <v>0</v>
      </c>
      <c r="D113">
        <f>IF(ISBLANK(INDEX('Milestone Tracker – IHP'!$D:$D,115)),D112,INDEX('Milestone Tracker – IHP'!$D:$D,115))</f>
        <v>0</v>
      </c>
      <c r="E113" t="str">
        <f>IF(ISBLANK(INDEX('Milestone Tracker – IHP'!$E:$E,115)),"",INDEX('Milestone Tracker – IHP'!$E:$E,115))</f>
        <v/>
      </c>
      <c r="F113" t="str">
        <f>IF(ISBLANK(INDEX('Milestone Tracker – IHP'!$F:$F,115)),"",INDEX('Milestone Tracker – IHP'!$F:$F,115))</f>
        <v/>
      </c>
      <c r="G113" t="e">
        <f>IF(ISBLANK(INDEX('Milestone Tracker – IHP'!#REF!,115)),"",INDEX('Milestone Tracker – IHP'!#REF!,115))</f>
        <v>#REF!</v>
      </c>
      <c r="H113" t="str">
        <f>IF(ISBLANK(INDEX('Milestone Tracker – IHP'!$G:$G,115)),"",INDEX('Milestone Tracker – IHP'!$G:$G,115))</f>
        <v/>
      </c>
      <c r="I113" t="str">
        <f>IF(ISBLANK(INDEX('Milestone Tracker – IHP'!$H:$H,115)),"",INDEX('Milestone Tracker – IHP'!$H:$H,115))</f>
        <v/>
      </c>
      <c r="J113" t="e">
        <f>IF(ISBLANK(INDEX('Milestone Tracker – IHP'!#REF!,115)),"",INDEX('Milestone Tracker – IHP'!#REF!,115))</f>
        <v>#REF!</v>
      </c>
      <c r="K113">
        <f t="shared" si="2"/>
        <v>0</v>
      </c>
      <c r="L113">
        <f t="shared" si="3"/>
        <v>0</v>
      </c>
    </row>
    <row r="114" spans="1:12" x14ac:dyDescent="0.35">
      <c r="A114">
        <v>116</v>
      </c>
      <c r="B114">
        <f>IF(ISBLANK(INDEX('Milestone Tracker – IHP'!$B:$B,116)),B113,INDEX('Milestone Tracker – IHP'!$B:$B,116))</f>
        <v>0</v>
      </c>
      <c r="C114">
        <f>IF(ISBLANK(INDEX('Milestone Tracker – IHP'!$C:$C,116)),C113,INDEX('Milestone Tracker – IHP'!$C:$C,116))</f>
        <v>0</v>
      </c>
      <c r="D114">
        <f>IF(ISBLANK(INDEX('Milestone Tracker – IHP'!$D:$D,116)),D113,INDEX('Milestone Tracker – IHP'!$D:$D,116))</f>
        <v>0</v>
      </c>
      <c r="E114" t="str">
        <f>IF(ISBLANK(INDEX('Milestone Tracker – IHP'!$E:$E,116)),"",INDEX('Milestone Tracker – IHP'!$E:$E,116))</f>
        <v/>
      </c>
      <c r="F114" t="str">
        <f>IF(ISBLANK(INDEX('Milestone Tracker – IHP'!$F:$F,116)),"",INDEX('Milestone Tracker – IHP'!$F:$F,116))</f>
        <v/>
      </c>
      <c r="G114" t="e">
        <f>IF(ISBLANK(INDEX('Milestone Tracker – IHP'!#REF!,116)),"",INDEX('Milestone Tracker – IHP'!#REF!,116))</f>
        <v>#REF!</v>
      </c>
      <c r="H114" t="str">
        <f>IF(ISBLANK(INDEX('Milestone Tracker – IHP'!$G:$G,116)),"",INDEX('Milestone Tracker – IHP'!$G:$G,116))</f>
        <v/>
      </c>
      <c r="I114" t="str">
        <f>IF(ISBLANK(INDEX('Milestone Tracker – IHP'!$H:$H,116)),"",INDEX('Milestone Tracker – IHP'!$H:$H,116))</f>
        <v/>
      </c>
      <c r="J114" t="e">
        <f>IF(ISBLANK(INDEX('Milestone Tracker – IHP'!#REF!,116)),"",INDEX('Milestone Tracker – IHP'!#REF!,116))</f>
        <v>#REF!</v>
      </c>
      <c r="K114">
        <f t="shared" si="2"/>
        <v>0</v>
      </c>
      <c r="L114">
        <f t="shared" si="3"/>
        <v>0</v>
      </c>
    </row>
    <row r="115" spans="1:12" x14ac:dyDescent="0.35">
      <c r="A115">
        <v>117</v>
      </c>
      <c r="B115">
        <f>IF(ISBLANK(INDEX('Milestone Tracker – IHP'!$B:$B,117)),B114,INDEX('Milestone Tracker – IHP'!$B:$B,117))</f>
        <v>0</v>
      </c>
      <c r="C115">
        <f>IF(ISBLANK(INDEX('Milestone Tracker – IHP'!$C:$C,117)),C114,INDEX('Milestone Tracker – IHP'!$C:$C,117))</f>
        <v>0</v>
      </c>
      <c r="D115">
        <f>IF(ISBLANK(INDEX('Milestone Tracker – IHP'!$D:$D,117)),D114,INDEX('Milestone Tracker – IHP'!$D:$D,117))</f>
        <v>0</v>
      </c>
      <c r="E115" t="str">
        <f>IF(ISBLANK(INDEX('Milestone Tracker – IHP'!$E:$E,117)),"",INDEX('Milestone Tracker – IHP'!$E:$E,117))</f>
        <v/>
      </c>
      <c r="F115" t="str">
        <f>IF(ISBLANK(INDEX('Milestone Tracker – IHP'!$F:$F,117)),"",INDEX('Milestone Tracker – IHP'!$F:$F,117))</f>
        <v/>
      </c>
      <c r="G115" t="e">
        <f>IF(ISBLANK(INDEX('Milestone Tracker – IHP'!#REF!,117)),"",INDEX('Milestone Tracker – IHP'!#REF!,117))</f>
        <v>#REF!</v>
      </c>
      <c r="H115" t="str">
        <f>IF(ISBLANK(INDEX('Milestone Tracker – IHP'!$G:$G,117)),"",INDEX('Milestone Tracker – IHP'!$G:$G,117))</f>
        <v/>
      </c>
      <c r="I115" t="str">
        <f>IF(ISBLANK(INDEX('Milestone Tracker – IHP'!$H:$H,117)),"",INDEX('Milestone Tracker – IHP'!$H:$H,117))</f>
        <v/>
      </c>
      <c r="J115" t="e">
        <f>IF(ISBLANK(INDEX('Milestone Tracker – IHP'!#REF!,117)),"",INDEX('Milestone Tracker – IHP'!#REF!,117))</f>
        <v>#REF!</v>
      </c>
      <c r="K115">
        <f t="shared" si="2"/>
        <v>0</v>
      </c>
      <c r="L115">
        <f t="shared" si="3"/>
        <v>0</v>
      </c>
    </row>
    <row r="116" spans="1:12" x14ac:dyDescent="0.35">
      <c r="A116">
        <v>118</v>
      </c>
      <c r="B116">
        <f>IF(ISBLANK(INDEX('Milestone Tracker – IHP'!$B:$B,118)),B115,INDEX('Milestone Tracker – IHP'!$B:$B,118))</f>
        <v>0</v>
      </c>
      <c r="C116">
        <f>IF(ISBLANK(INDEX('Milestone Tracker – IHP'!$C:$C,118)),C115,INDEX('Milestone Tracker – IHP'!$C:$C,118))</f>
        <v>0</v>
      </c>
      <c r="D116">
        <f>IF(ISBLANK(INDEX('Milestone Tracker – IHP'!$D:$D,118)),D115,INDEX('Milestone Tracker – IHP'!$D:$D,118))</f>
        <v>0</v>
      </c>
      <c r="E116" t="str">
        <f>IF(ISBLANK(INDEX('Milestone Tracker – IHP'!$E:$E,118)),"",INDEX('Milestone Tracker – IHP'!$E:$E,118))</f>
        <v/>
      </c>
      <c r="F116" t="str">
        <f>IF(ISBLANK(INDEX('Milestone Tracker – IHP'!$F:$F,118)),"",INDEX('Milestone Tracker – IHP'!$F:$F,118))</f>
        <v/>
      </c>
      <c r="G116" t="e">
        <f>IF(ISBLANK(INDEX('Milestone Tracker – IHP'!#REF!,118)),"",INDEX('Milestone Tracker – IHP'!#REF!,118))</f>
        <v>#REF!</v>
      </c>
      <c r="H116" t="str">
        <f>IF(ISBLANK(INDEX('Milestone Tracker – IHP'!$G:$G,118)),"",INDEX('Milestone Tracker – IHP'!$G:$G,118))</f>
        <v/>
      </c>
      <c r="I116" t="str">
        <f>IF(ISBLANK(INDEX('Milestone Tracker – IHP'!$H:$H,118)),"",INDEX('Milestone Tracker – IHP'!$H:$H,118))</f>
        <v/>
      </c>
      <c r="J116" t="e">
        <f>IF(ISBLANK(INDEX('Milestone Tracker – IHP'!#REF!,118)),"",INDEX('Milestone Tracker – IHP'!#REF!,118))</f>
        <v>#REF!</v>
      </c>
      <c r="K116">
        <f t="shared" si="2"/>
        <v>0</v>
      </c>
      <c r="L116">
        <f t="shared" si="3"/>
        <v>0</v>
      </c>
    </row>
    <row r="117" spans="1:12" x14ac:dyDescent="0.35">
      <c r="A117">
        <v>119</v>
      </c>
      <c r="B117">
        <f>IF(ISBLANK(INDEX('Milestone Tracker – IHP'!$B:$B,119)),B116,INDEX('Milestone Tracker – IHP'!$B:$B,119))</f>
        <v>0</v>
      </c>
      <c r="C117">
        <f>IF(ISBLANK(INDEX('Milestone Tracker – IHP'!$C:$C,119)),C116,INDEX('Milestone Tracker – IHP'!$C:$C,119))</f>
        <v>0</v>
      </c>
      <c r="D117">
        <f>IF(ISBLANK(INDEX('Milestone Tracker – IHP'!$D:$D,119)),D116,INDEX('Milestone Tracker – IHP'!$D:$D,119))</f>
        <v>0</v>
      </c>
      <c r="E117" t="str">
        <f>IF(ISBLANK(INDEX('Milestone Tracker – IHP'!$E:$E,119)),"",INDEX('Milestone Tracker – IHP'!$E:$E,119))</f>
        <v/>
      </c>
      <c r="F117" t="str">
        <f>IF(ISBLANK(INDEX('Milestone Tracker – IHP'!$F:$F,119)),"",INDEX('Milestone Tracker – IHP'!$F:$F,119))</f>
        <v/>
      </c>
      <c r="G117" t="e">
        <f>IF(ISBLANK(INDEX('Milestone Tracker – IHP'!#REF!,119)),"",INDEX('Milestone Tracker – IHP'!#REF!,119))</f>
        <v>#REF!</v>
      </c>
      <c r="H117" t="str">
        <f>IF(ISBLANK(INDEX('Milestone Tracker – IHP'!$G:$G,119)),"",INDEX('Milestone Tracker – IHP'!$G:$G,119))</f>
        <v/>
      </c>
      <c r="I117" t="str">
        <f>IF(ISBLANK(INDEX('Milestone Tracker – IHP'!$H:$H,119)),"",INDEX('Milestone Tracker – IHP'!$H:$H,119))</f>
        <v/>
      </c>
      <c r="J117" t="e">
        <f>IF(ISBLANK(INDEX('Milestone Tracker – IHP'!#REF!,119)),"",INDEX('Milestone Tracker – IHP'!#REF!,119))</f>
        <v>#REF!</v>
      </c>
      <c r="K117">
        <f t="shared" si="2"/>
        <v>0</v>
      </c>
      <c r="L117">
        <f t="shared" si="3"/>
        <v>0</v>
      </c>
    </row>
    <row r="118" spans="1:12" x14ac:dyDescent="0.35">
      <c r="A118">
        <v>120</v>
      </c>
      <c r="B118">
        <f>IF(ISBLANK(INDEX('Milestone Tracker – IHP'!$B:$B,120)),B117,INDEX('Milestone Tracker – IHP'!$B:$B,120))</f>
        <v>0</v>
      </c>
      <c r="C118">
        <f>IF(ISBLANK(INDEX('Milestone Tracker – IHP'!$C:$C,120)),C117,INDEX('Milestone Tracker – IHP'!$C:$C,120))</f>
        <v>0</v>
      </c>
      <c r="D118">
        <f>IF(ISBLANK(INDEX('Milestone Tracker – IHP'!$D:$D,120)),D117,INDEX('Milestone Tracker – IHP'!$D:$D,120))</f>
        <v>0</v>
      </c>
      <c r="E118" t="str">
        <f>IF(ISBLANK(INDEX('Milestone Tracker – IHP'!$E:$E,120)),"",INDEX('Milestone Tracker – IHP'!$E:$E,120))</f>
        <v/>
      </c>
      <c r="F118" t="str">
        <f>IF(ISBLANK(INDEX('Milestone Tracker – IHP'!$F:$F,120)),"",INDEX('Milestone Tracker – IHP'!$F:$F,120))</f>
        <v/>
      </c>
      <c r="G118" t="e">
        <f>IF(ISBLANK(INDEX('Milestone Tracker – IHP'!#REF!,120)),"",INDEX('Milestone Tracker – IHP'!#REF!,120))</f>
        <v>#REF!</v>
      </c>
      <c r="H118" t="str">
        <f>IF(ISBLANK(INDEX('Milestone Tracker – IHP'!$G:$G,120)),"",INDEX('Milestone Tracker – IHP'!$G:$G,120))</f>
        <v/>
      </c>
      <c r="I118" t="str">
        <f>IF(ISBLANK(INDEX('Milestone Tracker – IHP'!$H:$H,120)),"",INDEX('Milestone Tracker – IHP'!$H:$H,120))</f>
        <v/>
      </c>
      <c r="J118" t="e">
        <f>IF(ISBLANK(INDEX('Milestone Tracker – IHP'!#REF!,120)),"",INDEX('Milestone Tracker – IHP'!#REF!,120))</f>
        <v>#REF!</v>
      </c>
      <c r="K118">
        <f t="shared" si="2"/>
        <v>0</v>
      </c>
      <c r="L118">
        <f t="shared" si="3"/>
        <v>0</v>
      </c>
    </row>
    <row r="119" spans="1:12" x14ac:dyDescent="0.35">
      <c r="A119">
        <v>121</v>
      </c>
      <c r="B119">
        <f>IF(ISBLANK(INDEX('Milestone Tracker – IHP'!$B:$B,121)),B118,INDEX('Milestone Tracker – IHP'!$B:$B,121))</f>
        <v>0</v>
      </c>
      <c r="C119">
        <f>IF(ISBLANK(INDEX('Milestone Tracker – IHP'!$C:$C,121)),C118,INDEX('Milestone Tracker – IHP'!$C:$C,121))</f>
        <v>0</v>
      </c>
      <c r="D119">
        <f>IF(ISBLANK(INDEX('Milestone Tracker – IHP'!$D:$D,121)),D118,INDEX('Milestone Tracker – IHP'!$D:$D,121))</f>
        <v>0</v>
      </c>
      <c r="E119" t="str">
        <f>IF(ISBLANK(INDEX('Milestone Tracker – IHP'!$E:$E,121)),"",INDEX('Milestone Tracker – IHP'!$E:$E,121))</f>
        <v/>
      </c>
      <c r="F119" t="str">
        <f>IF(ISBLANK(INDEX('Milestone Tracker – IHP'!$F:$F,121)),"",INDEX('Milestone Tracker – IHP'!$F:$F,121))</f>
        <v/>
      </c>
      <c r="G119" t="e">
        <f>IF(ISBLANK(INDEX('Milestone Tracker – IHP'!#REF!,121)),"",INDEX('Milestone Tracker – IHP'!#REF!,121))</f>
        <v>#REF!</v>
      </c>
      <c r="H119" t="str">
        <f>IF(ISBLANK(INDEX('Milestone Tracker – IHP'!$G:$G,121)),"",INDEX('Milestone Tracker – IHP'!$G:$G,121))</f>
        <v/>
      </c>
      <c r="I119" t="str">
        <f>IF(ISBLANK(INDEX('Milestone Tracker – IHP'!$H:$H,121)),"",INDEX('Milestone Tracker – IHP'!$H:$H,121))</f>
        <v/>
      </c>
      <c r="J119" t="e">
        <f>IF(ISBLANK(INDEX('Milestone Tracker – IHP'!#REF!,121)),"",INDEX('Milestone Tracker – IHP'!#REF!,121))</f>
        <v>#REF!</v>
      </c>
      <c r="K119">
        <f t="shared" si="2"/>
        <v>0</v>
      </c>
      <c r="L119">
        <f t="shared" si="3"/>
        <v>0</v>
      </c>
    </row>
    <row r="120" spans="1:12" x14ac:dyDescent="0.35">
      <c r="A120">
        <v>122</v>
      </c>
      <c r="B120">
        <f>IF(ISBLANK(INDEX('Milestone Tracker – IHP'!$B:$B,122)),B119,INDEX('Milestone Tracker – IHP'!$B:$B,122))</f>
        <v>0</v>
      </c>
      <c r="C120">
        <f>IF(ISBLANK(INDEX('Milestone Tracker – IHP'!$C:$C,122)),C119,INDEX('Milestone Tracker – IHP'!$C:$C,122))</f>
        <v>0</v>
      </c>
      <c r="D120">
        <f>IF(ISBLANK(INDEX('Milestone Tracker – IHP'!$D:$D,122)),D119,INDEX('Milestone Tracker – IHP'!$D:$D,122))</f>
        <v>0</v>
      </c>
      <c r="E120" t="str">
        <f>IF(ISBLANK(INDEX('Milestone Tracker – IHP'!$E:$E,122)),"",INDEX('Milestone Tracker – IHP'!$E:$E,122))</f>
        <v/>
      </c>
      <c r="F120" t="str">
        <f>IF(ISBLANK(INDEX('Milestone Tracker – IHP'!$F:$F,122)),"",INDEX('Milestone Tracker – IHP'!$F:$F,122))</f>
        <v/>
      </c>
      <c r="G120" t="e">
        <f>IF(ISBLANK(INDEX('Milestone Tracker – IHP'!#REF!,122)),"",INDEX('Milestone Tracker – IHP'!#REF!,122))</f>
        <v>#REF!</v>
      </c>
      <c r="H120" t="str">
        <f>IF(ISBLANK(INDEX('Milestone Tracker – IHP'!$G:$G,122)),"",INDEX('Milestone Tracker – IHP'!$G:$G,122))</f>
        <v/>
      </c>
      <c r="I120" t="str">
        <f>IF(ISBLANK(INDEX('Milestone Tracker – IHP'!$H:$H,122)),"",INDEX('Milestone Tracker – IHP'!$H:$H,122))</f>
        <v/>
      </c>
      <c r="J120" t="e">
        <f>IF(ISBLANK(INDEX('Milestone Tracker – IHP'!#REF!,122)),"",INDEX('Milestone Tracker – IHP'!#REF!,122))</f>
        <v>#REF!</v>
      </c>
      <c r="K120">
        <f t="shared" si="2"/>
        <v>0</v>
      </c>
      <c r="L120">
        <f t="shared" si="3"/>
        <v>0</v>
      </c>
    </row>
    <row r="121" spans="1:12" x14ac:dyDescent="0.35">
      <c r="A121">
        <v>123</v>
      </c>
      <c r="B121">
        <f>IF(ISBLANK(INDEX('Milestone Tracker – IHP'!$B:$B,123)),B120,INDEX('Milestone Tracker – IHP'!$B:$B,123))</f>
        <v>0</v>
      </c>
      <c r="C121">
        <f>IF(ISBLANK(INDEX('Milestone Tracker – IHP'!$C:$C,123)),C120,INDEX('Milestone Tracker – IHP'!$C:$C,123))</f>
        <v>0</v>
      </c>
      <c r="D121">
        <f>IF(ISBLANK(INDEX('Milestone Tracker – IHP'!$D:$D,123)),D120,INDEX('Milestone Tracker – IHP'!$D:$D,123))</f>
        <v>0</v>
      </c>
      <c r="E121" t="str">
        <f>IF(ISBLANK(INDEX('Milestone Tracker – IHP'!$E:$E,123)),"",INDEX('Milestone Tracker – IHP'!$E:$E,123))</f>
        <v/>
      </c>
      <c r="F121" t="str">
        <f>IF(ISBLANK(INDEX('Milestone Tracker – IHP'!$F:$F,123)),"",INDEX('Milestone Tracker – IHP'!$F:$F,123))</f>
        <v/>
      </c>
      <c r="G121" t="e">
        <f>IF(ISBLANK(INDEX('Milestone Tracker – IHP'!#REF!,123)),"",INDEX('Milestone Tracker – IHP'!#REF!,123))</f>
        <v>#REF!</v>
      </c>
      <c r="H121" t="str">
        <f>IF(ISBLANK(INDEX('Milestone Tracker – IHP'!$G:$G,123)),"",INDEX('Milestone Tracker – IHP'!$G:$G,123))</f>
        <v/>
      </c>
      <c r="I121" t="str">
        <f>IF(ISBLANK(INDEX('Milestone Tracker – IHP'!$H:$H,123)),"",INDEX('Milestone Tracker – IHP'!$H:$H,123))</f>
        <v/>
      </c>
      <c r="J121" t="e">
        <f>IF(ISBLANK(INDEX('Milestone Tracker – IHP'!#REF!,123)),"",INDEX('Milestone Tracker – IHP'!#REF!,123))</f>
        <v>#REF!</v>
      </c>
      <c r="K121">
        <f t="shared" si="2"/>
        <v>0</v>
      </c>
      <c r="L121">
        <f t="shared" si="3"/>
        <v>0</v>
      </c>
    </row>
    <row r="122" spans="1:12" x14ac:dyDescent="0.35">
      <c r="A122">
        <v>124</v>
      </c>
      <c r="B122">
        <f>IF(ISBLANK(INDEX('Milestone Tracker – IHP'!$B:$B,124)),B121,INDEX('Milestone Tracker – IHP'!$B:$B,124))</f>
        <v>0</v>
      </c>
      <c r="C122">
        <f>IF(ISBLANK(INDEX('Milestone Tracker – IHP'!$C:$C,124)),C121,INDEX('Milestone Tracker – IHP'!$C:$C,124))</f>
        <v>0</v>
      </c>
      <c r="D122">
        <f>IF(ISBLANK(INDEX('Milestone Tracker – IHP'!$D:$D,124)),D121,INDEX('Milestone Tracker – IHP'!$D:$D,124))</f>
        <v>0</v>
      </c>
      <c r="E122" t="str">
        <f>IF(ISBLANK(INDEX('Milestone Tracker – IHP'!$E:$E,124)),"",INDEX('Milestone Tracker – IHP'!$E:$E,124))</f>
        <v/>
      </c>
      <c r="F122" t="str">
        <f>IF(ISBLANK(INDEX('Milestone Tracker – IHP'!$F:$F,124)),"",INDEX('Milestone Tracker – IHP'!$F:$F,124))</f>
        <v/>
      </c>
      <c r="G122" t="e">
        <f>IF(ISBLANK(INDEX('Milestone Tracker – IHP'!#REF!,124)),"",INDEX('Milestone Tracker – IHP'!#REF!,124))</f>
        <v>#REF!</v>
      </c>
      <c r="H122" t="str">
        <f>IF(ISBLANK(INDEX('Milestone Tracker – IHP'!$G:$G,124)),"",INDEX('Milestone Tracker – IHP'!$G:$G,124))</f>
        <v/>
      </c>
      <c r="I122" t="str">
        <f>IF(ISBLANK(INDEX('Milestone Tracker – IHP'!$H:$H,124)),"",INDEX('Milestone Tracker – IHP'!$H:$H,124))</f>
        <v/>
      </c>
      <c r="J122" t="e">
        <f>IF(ISBLANK(INDEX('Milestone Tracker – IHP'!#REF!,124)),"",INDEX('Milestone Tracker – IHP'!#REF!,124))</f>
        <v>#REF!</v>
      </c>
      <c r="K122">
        <f t="shared" si="2"/>
        <v>0</v>
      </c>
      <c r="L122">
        <f t="shared" si="3"/>
        <v>0</v>
      </c>
    </row>
    <row r="123" spans="1:12" x14ac:dyDescent="0.35">
      <c r="A123">
        <v>125</v>
      </c>
      <c r="B123">
        <f>IF(ISBLANK(INDEX('Milestone Tracker – IHP'!$B:$B,125)),B122,INDEX('Milestone Tracker – IHP'!$B:$B,125))</f>
        <v>0</v>
      </c>
      <c r="C123">
        <f>IF(ISBLANK(INDEX('Milestone Tracker – IHP'!$C:$C,125)),C122,INDEX('Milestone Tracker – IHP'!$C:$C,125))</f>
        <v>0</v>
      </c>
      <c r="D123">
        <f>IF(ISBLANK(INDEX('Milestone Tracker – IHP'!$D:$D,125)),D122,INDEX('Milestone Tracker – IHP'!$D:$D,125))</f>
        <v>0</v>
      </c>
      <c r="E123" t="str">
        <f>IF(ISBLANK(INDEX('Milestone Tracker – IHP'!$E:$E,125)),"",INDEX('Milestone Tracker – IHP'!$E:$E,125))</f>
        <v/>
      </c>
      <c r="F123" t="str">
        <f>IF(ISBLANK(INDEX('Milestone Tracker – IHP'!$F:$F,125)),"",INDEX('Milestone Tracker – IHP'!$F:$F,125))</f>
        <v/>
      </c>
      <c r="G123" t="e">
        <f>IF(ISBLANK(INDEX('Milestone Tracker – IHP'!#REF!,125)),"",INDEX('Milestone Tracker – IHP'!#REF!,125))</f>
        <v>#REF!</v>
      </c>
      <c r="H123" t="str">
        <f>IF(ISBLANK(INDEX('Milestone Tracker – IHP'!$G:$G,125)),"",INDEX('Milestone Tracker – IHP'!$G:$G,125))</f>
        <v/>
      </c>
      <c r="I123" t="str">
        <f>IF(ISBLANK(INDEX('Milestone Tracker – IHP'!$H:$H,125)),"",INDEX('Milestone Tracker – IHP'!$H:$H,125))</f>
        <v/>
      </c>
      <c r="J123" t="e">
        <f>IF(ISBLANK(INDEX('Milestone Tracker – IHP'!#REF!,125)),"",INDEX('Milestone Tracker – IHP'!#REF!,125))</f>
        <v>#REF!</v>
      </c>
      <c r="K123">
        <f t="shared" si="2"/>
        <v>0</v>
      </c>
      <c r="L123">
        <f t="shared" si="3"/>
        <v>0</v>
      </c>
    </row>
    <row r="124" spans="1:12" x14ac:dyDescent="0.35">
      <c r="A124">
        <v>126</v>
      </c>
      <c r="B124">
        <f>IF(ISBLANK(INDEX('Milestone Tracker – IHP'!$B:$B,126)),B123,INDEX('Milestone Tracker – IHP'!$B:$B,126))</f>
        <v>0</v>
      </c>
      <c r="C124">
        <f>IF(ISBLANK(INDEX('Milestone Tracker – IHP'!$C:$C,126)),C123,INDEX('Milestone Tracker – IHP'!$C:$C,126))</f>
        <v>0</v>
      </c>
      <c r="D124">
        <f>IF(ISBLANK(INDEX('Milestone Tracker – IHP'!$D:$D,126)),D123,INDEX('Milestone Tracker – IHP'!$D:$D,126))</f>
        <v>0</v>
      </c>
      <c r="E124" t="str">
        <f>IF(ISBLANK(INDEX('Milestone Tracker – IHP'!$E:$E,126)),"",INDEX('Milestone Tracker – IHP'!$E:$E,126))</f>
        <v/>
      </c>
      <c r="F124" t="str">
        <f>IF(ISBLANK(INDEX('Milestone Tracker – IHP'!$F:$F,126)),"",INDEX('Milestone Tracker – IHP'!$F:$F,126))</f>
        <v/>
      </c>
      <c r="G124" t="e">
        <f>IF(ISBLANK(INDEX('Milestone Tracker – IHP'!#REF!,126)),"",INDEX('Milestone Tracker – IHP'!#REF!,126))</f>
        <v>#REF!</v>
      </c>
      <c r="H124" t="str">
        <f>IF(ISBLANK(INDEX('Milestone Tracker – IHP'!$G:$G,126)),"",INDEX('Milestone Tracker – IHP'!$G:$G,126))</f>
        <v/>
      </c>
      <c r="I124" t="str">
        <f>IF(ISBLANK(INDEX('Milestone Tracker – IHP'!$H:$H,126)),"",INDEX('Milestone Tracker – IHP'!$H:$H,126))</f>
        <v/>
      </c>
      <c r="J124" t="e">
        <f>IF(ISBLANK(INDEX('Milestone Tracker – IHP'!#REF!,126)),"",INDEX('Milestone Tracker – IHP'!#REF!,126))</f>
        <v>#REF!</v>
      </c>
      <c r="K124">
        <f t="shared" si="2"/>
        <v>0</v>
      </c>
      <c r="L124">
        <f t="shared" si="3"/>
        <v>0</v>
      </c>
    </row>
    <row r="125" spans="1:12" x14ac:dyDescent="0.35">
      <c r="A125">
        <v>127</v>
      </c>
      <c r="B125">
        <f>IF(ISBLANK(INDEX('Milestone Tracker – IHP'!$B:$B,127)),B124,INDEX('Milestone Tracker – IHP'!$B:$B,127))</f>
        <v>0</v>
      </c>
      <c r="C125">
        <f>IF(ISBLANK(INDEX('Milestone Tracker – IHP'!$C:$C,127)),C124,INDEX('Milestone Tracker – IHP'!$C:$C,127))</f>
        <v>0</v>
      </c>
      <c r="D125">
        <f>IF(ISBLANK(INDEX('Milestone Tracker – IHP'!$D:$D,127)),D124,INDEX('Milestone Tracker – IHP'!$D:$D,127))</f>
        <v>0</v>
      </c>
      <c r="E125" t="str">
        <f>IF(ISBLANK(INDEX('Milestone Tracker – IHP'!$E:$E,127)),"",INDEX('Milestone Tracker – IHP'!$E:$E,127))</f>
        <v/>
      </c>
      <c r="F125" t="str">
        <f>IF(ISBLANK(INDEX('Milestone Tracker – IHP'!$F:$F,127)),"",INDEX('Milestone Tracker – IHP'!$F:$F,127))</f>
        <v/>
      </c>
      <c r="G125" t="e">
        <f>IF(ISBLANK(INDEX('Milestone Tracker – IHP'!#REF!,127)),"",INDEX('Milestone Tracker – IHP'!#REF!,127))</f>
        <v>#REF!</v>
      </c>
      <c r="H125" t="str">
        <f>IF(ISBLANK(INDEX('Milestone Tracker – IHP'!$G:$G,127)),"",INDEX('Milestone Tracker – IHP'!$G:$G,127))</f>
        <v/>
      </c>
      <c r="I125" t="str">
        <f>IF(ISBLANK(INDEX('Milestone Tracker – IHP'!$H:$H,127)),"",INDEX('Milestone Tracker – IHP'!$H:$H,127))</f>
        <v/>
      </c>
      <c r="J125" t="e">
        <f>IF(ISBLANK(INDEX('Milestone Tracker – IHP'!#REF!,127)),"",INDEX('Milestone Tracker – IHP'!#REF!,127))</f>
        <v>#REF!</v>
      </c>
      <c r="K125">
        <f t="shared" si="2"/>
        <v>0</v>
      </c>
      <c r="L125">
        <f t="shared" si="3"/>
        <v>0</v>
      </c>
    </row>
    <row r="126" spans="1:12" x14ac:dyDescent="0.35">
      <c r="A126">
        <v>128</v>
      </c>
      <c r="B126">
        <f>IF(ISBLANK(INDEX('Milestone Tracker – IHP'!$B:$B,128)),B125,INDEX('Milestone Tracker – IHP'!$B:$B,128))</f>
        <v>0</v>
      </c>
      <c r="C126">
        <f>IF(ISBLANK(INDEX('Milestone Tracker – IHP'!$C:$C,128)),C125,INDEX('Milestone Tracker – IHP'!$C:$C,128))</f>
        <v>0</v>
      </c>
      <c r="D126">
        <f>IF(ISBLANK(INDEX('Milestone Tracker – IHP'!$D:$D,128)),D125,INDEX('Milestone Tracker – IHP'!$D:$D,128))</f>
        <v>0</v>
      </c>
      <c r="E126" t="str">
        <f>IF(ISBLANK(INDEX('Milestone Tracker – IHP'!$E:$E,128)),"",INDEX('Milestone Tracker – IHP'!$E:$E,128))</f>
        <v/>
      </c>
      <c r="F126" t="str">
        <f>IF(ISBLANK(INDEX('Milestone Tracker – IHP'!$F:$F,128)),"",INDEX('Milestone Tracker – IHP'!$F:$F,128))</f>
        <v/>
      </c>
      <c r="G126" t="e">
        <f>IF(ISBLANK(INDEX('Milestone Tracker – IHP'!#REF!,128)),"",INDEX('Milestone Tracker – IHP'!#REF!,128))</f>
        <v>#REF!</v>
      </c>
      <c r="H126" t="str">
        <f>IF(ISBLANK(INDEX('Milestone Tracker – IHP'!$G:$G,128)),"",INDEX('Milestone Tracker – IHP'!$G:$G,128))</f>
        <v/>
      </c>
      <c r="I126" t="str">
        <f>IF(ISBLANK(INDEX('Milestone Tracker – IHP'!$H:$H,128)),"",INDEX('Milestone Tracker – IHP'!$H:$H,128))</f>
        <v/>
      </c>
      <c r="J126" t="e">
        <f>IF(ISBLANK(INDEX('Milestone Tracker – IHP'!#REF!,128)),"",INDEX('Milestone Tracker – IHP'!#REF!,128))</f>
        <v>#REF!</v>
      </c>
      <c r="K126">
        <f t="shared" si="2"/>
        <v>0</v>
      </c>
      <c r="L126">
        <f t="shared" si="3"/>
        <v>0</v>
      </c>
    </row>
    <row r="127" spans="1:12" x14ac:dyDescent="0.35">
      <c r="A127">
        <v>129</v>
      </c>
      <c r="B127">
        <f>IF(ISBLANK(INDEX('Milestone Tracker – IHP'!$B:$B,129)),B126,INDEX('Milestone Tracker – IHP'!$B:$B,129))</f>
        <v>0</v>
      </c>
      <c r="C127">
        <f>IF(ISBLANK(INDEX('Milestone Tracker – IHP'!$C:$C,129)),C126,INDEX('Milestone Tracker – IHP'!$C:$C,129))</f>
        <v>0</v>
      </c>
      <c r="D127">
        <f>IF(ISBLANK(INDEX('Milestone Tracker – IHP'!$D:$D,129)),D126,INDEX('Milestone Tracker – IHP'!$D:$D,129))</f>
        <v>0</v>
      </c>
      <c r="E127" t="str">
        <f>IF(ISBLANK(INDEX('Milestone Tracker – IHP'!$E:$E,129)),"",INDEX('Milestone Tracker – IHP'!$E:$E,129))</f>
        <v/>
      </c>
      <c r="F127" t="str">
        <f>IF(ISBLANK(INDEX('Milestone Tracker – IHP'!$F:$F,129)),"",INDEX('Milestone Tracker – IHP'!$F:$F,129))</f>
        <v/>
      </c>
      <c r="G127" t="e">
        <f>IF(ISBLANK(INDEX('Milestone Tracker – IHP'!#REF!,129)),"",INDEX('Milestone Tracker – IHP'!#REF!,129))</f>
        <v>#REF!</v>
      </c>
      <c r="H127" t="str">
        <f>IF(ISBLANK(INDEX('Milestone Tracker – IHP'!$G:$G,129)),"",INDEX('Milestone Tracker – IHP'!$G:$G,129))</f>
        <v/>
      </c>
      <c r="I127" t="str">
        <f>IF(ISBLANK(INDEX('Milestone Tracker – IHP'!$H:$H,129)),"",INDEX('Milestone Tracker – IHP'!$H:$H,129))</f>
        <v/>
      </c>
      <c r="J127" t="e">
        <f>IF(ISBLANK(INDEX('Milestone Tracker – IHP'!#REF!,129)),"",INDEX('Milestone Tracker – IHP'!#REF!,129))</f>
        <v>#REF!</v>
      </c>
      <c r="K127">
        <f t="shared" si="2"/>
        <v>0</v>
      </c>
      <c r="L127">
        <f t="shared" si="3"/>
        <v>0</v>
      </c>
    </row>
    <row r="128" spans="1:12" x14ac:dyDescent="0.35">
      <c r="A128">
        <v>130</v>
      </c>
      <c r="B128">
        <f>IF(ISBLANK(INDEX('Milestone Tracker – IHP'!$B:$B,130)),B127,INDEX('Milestone Tracker – IHP'!$B:$B,130))</f>
        <v>0</v>
      </c>
      <c r="C128">
        <f>IF(ISBLANK(INDEX('Milestone Tracker – IHP'!$C:$C,130)),C127,INDEX('Milestone Tracker – IHP'!$C:$C,130))</f>
        <v>0</v>
      </c>
      <c r="D128">
        <f>IF(ISBLANK(INDEX('Milestone Tracker – IHP'!$D:$D,130)),D127,INDEX('Milestone Tracker – IHP'!$D:$D,130))</f>
        <v>0</v>
      </c>
      <c r="E128" t="str">
        <f>IF(ISBLANK(INDEX('Milestone Tracker – IHP'!$E:$E,130)),"",INDEX('Milestone Tracker – IHP'!$E:$E,130))</f>
        <v/>
      </c>
      <c r="F128" t="str">
        <f>IF(ISBLANK(INDEX('Milestone Tracker – IHP'!$F:$F,130)),"",INDEX('Milestone Tracker – IHP'!$F:$F,130))</f>
        <v/>
      </c>
      <c r="G128" t="e">
        <f>IF(ISBLANK(INDEX('Milestone Tracker – IHP'!#REF!,130)),"",INDEX('Milestone Tracker – IHP'!#REF!,130))</f>
        <v>#REF!</v>
      </c>
      <c r="H128" t="str">
        <f>IF(ISBLANK(INDEX('Milestone Tracker – IHP'!$G:$G,130)),"",INDEX('Milestone Tracker – IHP'!$G:$G,130))</f>
        <v/>
      </c>
      <c r="I128" t="str">
        <f>IF(ISBLANK(INDEX('Milestone Tracker – IHP'!$H:$H,130)),"",INDEX('Milestone Tracker – IHP'!$H:$H,130))</f>
        <v/>
      </c>
      <c r="J128" t="e">
        <f>IF(ISBLANK(INDEX('Milestone Tracker – IHP'!#REF!,130)),"",INDEX('Milestone Tracker – IHP'!#REF!,130))</f>
        <v>#REF!</v>
      </c>
      <c r="K128">
        <f t="shared" si="2"/>
        <v>0</v>
      </c>
      <c r="L128">
        <f t="shared" si="3"/>
        <v>0</v>
      </c>
    </row>
    <row r="129" spans="1:12" x14ac:dyDescent="0.35">
      <c r="A129">
        <v>131</v>
      </c>
      <c r="B129">
        <f>IF(ISBLANK(INDEX('Milestone Tracker – IHP'!$B:$B,131)),B128,INDEX('Milestone Tracker – IHP'!$B:$B,131))</f>
        <v>0</v>
      </c>
      <c r="C129">
        <f>IF(ISBLANK(INDEX('Milestone Tracker – IHP'!$C:$C,131)),C128,INDEX('Milestone Tracker – IHP'!$C:$C,131))</f>
        <v>0</v>
      </c>
      <c r="D129">
        <f>IF(ISBLANK(INDEX('Milestone Tracker – IHP'!$D:$D,131)),D128,INDEX('Milestone Tracker – IHP'!$D:$D,131))</f>
        <v>0</v>
      </c>
      <c r="E129" t="str">
        <f>IF(ISBLANK(INDEX('Milestone Tracker – IHP'!$E:$E,131)),"",INDEX('Milestone Tracker – IHP'!$E:$E,131))</f>
        <v/>
      </c>
      <c r="F129" t="str">
        <f>IF(ISBLANK(INDEX('Milestone Tracker – IHP'!$F:$F,131)),"",INDEX('Milestone Tracker – IHP'!$F:$F,131))</f>
        <v/>
      </c>
      <c r="G129" t="e">
        <f>IF(ISBLANK(INDEX('Milestone Tracker – IHP'!#REF!,131)),"",INDEX('Milestone Tracker – IHP'!#REF!,131))</f>
        <v>#REF!</v>
      </c>
      <c r="H129" t="str">
        <f>IF(ISBLANK(INDEX('Milestone Tracker – IHP'!$G:$G,131)),"",INDEX('Milestone Tracker – IHP'!$G:$G,131))</f>
        <v/>
      </c>
      <c r="I129" t="str">
        <f>IF(ISBLANK(INDEX('Milestone Tracker – IHP'!$H:$H,131)),"",INDEX('Milestone Tracker – IHP'!$H:$H,131))</f>
        <v/>
      </c>
      <c r="J129" t="e">
        <f>IF(ISBLANK(INDEX('Milestone Tracker – IHP'!#REF!,131)),"",INDEX('Milestone Tracker – IHP'!#REF!,131))</f>
        <v>#REF!</v>
      </c>
      <c r="K129">
        <f t="shared" si="2"/>
        <v>0</v>
      </c>
      <c r="L129">
        <f t="shared" si="3"/>
        <v>0</v>
      </c>
    </row>
    <row r="130" spans="1:12" x14ac:dyDescent="0.35">
      <c r="A130">
        <v>132</v>
      </c>
      <c r="B130">
        <f>IF(ISBLANK(INDEX('Milestone Tracker – IHP'!$B:$B,132)),B129,INDEX('Milestone Tracker – IHP'!$B:$B,132))</f>
        <v>0</v>
      </c>
      <c r="C130">
        <f>IF(ISBLANK(INDEX('Milestone Tracker – IHP'!$C:$C,132)),C129,INDEX('Milestone Tracker – IHP'!$C:$C,132))</f>
        <v>0</v>
      </c>
      <c r="D130">
        <f>IF(ISBLANK(INDEX('Milestone Tracker – IHP'!$D:$D,132)),D129,INDEX('Milestone Tracker – IHP'!$D:$D,132))</f>
        <v>0</v>
      </c>
      <c r="E130" t="str">
        <f>IF(ISBLANK(INDEX('Milestone Tracker – IHP'!$E:$E,132)),"",INDEX('Milestone Tracker – IHP'!$E:$E,132))</f>
        <v/>
      </c>
      <c r="F130" t="str">
        <f>IF(ISBLANK(INDEX('Milestone Tracker – IHP'!$F:$F,132)),"",INDEX('Milestone Tracker – IHP'!$F:$F,132))</f>
        <v/>
      </c>
      <c r="G130" t="e">
        <f>IF(ISBLANK(INDEX('Milestone Tracker – IHP'!#REF!,132)),"",INDEX('Milestone Tracker – IHP'!#REF!,132))</f>
        <v>#REF!</v>
      </c>
      <c r="H130" t="str">
        <f>IF(ISBLANK(INDEX('Milestone Tracker – IHP'!$G:$G,132)),"",INDEX('Milestone Tracker – IHP'!$G:$G,132))</f>
        <v/>
      </c>
      <c r="I130" t="str">
        <f>IF(ISBLANK(INDEX('Milestone Tracker – IHP'!$H:$H,132)),"",INDEX('Milestone Tracker – IHP'!$H:$H,132))</f>
        <v/>
      </c>
      <c r="J130" t="e">
        <f>IF(ISBLANK(INDEX('Milestone Tracker – IHP'!#REF!,132)),"",INDEX('Milestone Tracker – IHP'!#REF!,132))</f>
        <v>#REF!</v>
      </c>
      <c r="K130">
        <f t="shared" ref="K130:K193" si="4">IF(LEFT($E130,9)="Milestone",1,0)</f>
        <v>0</v>
      </c>
      <c r="L130">
        <f t="shared" ref="L130:L193" si="5">L129+K130</f>
        <v>0</v>
      </c>
    </row>
    <row r="131" spans="1:12" x14ac:dyDescent="0.35">
      <c r="A131">
        <v>133</v>
      </c>
      <c r="B131">
        <f>IF(ISBLANK(INDEX('Milestone Tracker – IHP'!$B:$B,133)),B130,INDEX('Milestone Tracker – IHP'!$B:$B,133))</f>
        <v>0</v>
      </c>
      <c r="C131">
        <f>IF(ISBLANK(INDEX('Milestone Tracker – IHP'!$C:$C,133)),C130,INDEX('Milestone Tracker – IHP'!$C:$C,133))</f>
        <v>0</v>
      </c>
      <c r="D131">
        <f>IF(ISBLANK(INDEX('Milestone Tracker – IHP'!$D:$D,133)),D130,INDEX('Milestone Tracker – IHP'!$D:$D,133))</f>
        <v>0</v>
      </c>
      <c r="E131" t="str">
        <f>IF(ISBLANK(INDEX('Milestone Tracker – IHP'!$E:$E,133)),"",INDEX('Milestone Tracker – IHP'!$E:$E,133))</f>
        <v/>
      </c>
      <c r="F131" t="str">
        <f>IF(ISBLANK(INDEX('Milestone Tracker – IHP'!$F:$F,133)),"",INDEX('Milestone Tracker – IHP'!$F:$F,133))</f>
        <v/>
      </c>
      <c r="G131" t="e">
        <f>IF(ISBLANK(INDEX('Milestone Tracker – IHP'!#REF!,133)),"",INDEX('Milestone Tracker – IHP'!#REF!,133))</f>
        <v>#REF!</v>
      </c>
      <c r="H131" t="str">
        <f>IF(ISBLANK(INDEX('Milestone Tracker – IHP'!$G:$G,133)),"",INDEX('Milestone Tracker – IHP'!$G:$G,133))</f>
        <v/>
      </c>
      <c r="I131" t="str">
        <f>IF(ISBLANK(INDEX('Milestone Tracker – IHP'!$H:$H,133)),"",INDEX('Milestone Tracker – IHP'!$H:$H,133))</f>
        <v/>
      </c>
      <c r="J131" t="e">
        <f>IF(ISBLANK(INDEX('Milestone Tracker – IHP'!#REF!,133)),"",INDEX('Milestone Tracker – IHP'!#REF!,133))</f>
        <v>#REF!</v>
      </c>
      <c r="K131">
        <f t="shared" si="4"/>
        <v>0</v>
      </c>
      <c r="L131">
        <f t="shared" si="5"/>
        <v>0</v>
      </c>
    </row>
    <row r="132" spans="1:12" x14ac:dyDescent="0.35">
      <c r="A132">
        <v>134</v>
      </c>
      <c r="B132">
        <f>IF(ISBLANK(INDEX('Milestone Tracker – IHP'!$B:$B,134)),B131,INDEX('Milestone Tracker – IHP'!$B:$B,134))</f>
        <v>0</v>
      </c>
      <c r="C132">
        <f>IF(ISBLANK(INDEX('Milestone Tracker – IHP'!$C:$C,134)),C131,INDEX('Milestone Tracker – IHP'!$C:$C,134))</f>
        <v>0</v>
      </c>
      <c r="D132">
        <f>IF(ISBLANK(INDEX('Milestone Tracker – IHP'!$D:$D,134)),D131,INDEX('Milestone Tracker – IHP'!$D:$D,134))</f>
        <v>0</v>
      </c>
      <c r="E132" t="str">
        <f>IF(ISBLANK(INDEX('Milestone Tracker – IHP'!$E:$E,134)),"",INDEX('Milestone Tracker – IHP'!$E:$E,134))</f>
        <v/>
      </c>
      <c r="F132" t="str">
        <f>IF(ISBLANK(INDEX('Milestone Tracker – IHP'!$F:$F,134)),"",INDEX('Milestone Tracker – IHP'!$F:$F,134))</f>
        <v/>
      </c>
      <c r="G132" t="e">
        <f>IF(ISBLANK(INDEX('Milestone Tracker – IHP'!#REF!,134)),"",INDEX('Milestone Tracker – IHP'!#REF!,134))</f>
        <v>#REF!</v>
      </c>
      <c r="H132" t="str">
        <f>IF(ISBLANK(INDEX('Milestone Tracker – IHP'!$G:$G,134)),"",INDEX('Milestone Tracker – IHP'!$G:$G,134))</f>
        <v/>
      </c>
      <c r="I132" t="str">
        <f>IF(ISBLANK(INDEX('Milestone Tracker – IHP'!$H:$H,134)),"",INDEX('Milestone Tracker – IHP'!$H:$H,134))</f>
        <v/>
      </c>
      <c r="J132" t="e">
        <f>IF(ISBLANK(INDEX('Milestone Tracker – IHP'!#REF!,134)),"",INDEX('Milestone Tracker – IHP'!#REF!,134))</f>
        <v>#REF!</v>
      </c>
      <c r="K132">
        <f t="shared" si="4"/>
        <v>0</v>
      </c>
      <c r="L132">
        <f t="shared" si="5"/>
        <v>0</v>
      </c>
    </row>
    <row r="133" spans="1:12" x14ac:dyDescent="0.35">
      <c r="A133">
        <v>135</v>
      </c>
      <c r="B133">
        <f>IF(ISBLANK(INDEX('Milestone Tracker – IHP'!$B:$B,135)),B132,INDEX('Milestone Tracker – IHP'!$B:$B,135))</f>
        <v>0</v>
      </c>
      <c r="C133">
        <f>IF(ISBLANK(INDEX('Milestone Tracker – IHP'!$C:$C,135)),C132,INDEX('Milestone Tracker – IHP'!$C:$C,135))</f>
        <v>0</v>
      </c>
      <c r="D133">
        <f>IF(ISBLANK(INDEX('Milestone Tracker – IHP'!$D:$D,135)),D132,INDEX('Milestone Tracker – IHP'!$D:$D,135))</f>
        <v>0</v>
      </c>
      <c r="E133" t="str">
        <f>IF(ISBLANK(INDEX('Milestone Tracker – IHP'!$E:$E,135)),"",INDEX('Milestone Tracker – IHP'!$E:$E,135))</f>
        <v/>
      </c>
      <c r="F133" t="str">
        <f>IF(ISBLANK(INDEX('Milestone Tracker – IHP'!$F:$F,135)),"",INDEX('Milestone Tracker – IHP'!$F:$F,135))</f>
        <v/>
      </c>
      <c r="G133" t="e">
        <f>IF(ISBLANK(INDEX('Milestone Tracker – IHP'!#REF!,135)),"",INDEX('Milestone Tracker – IHP'!#REF!,135))</f>
        <v>#REF!</v>
      </c>
      <c r="H133" t="str">
        <f>IF(ISBLANK(INDEX('Milestone Tracker – IHP'!$G:$G,135)),"",INDEX('Milestone Tracker – IHP'!$G:$G,135))</f>
        <v/>
      </c>
      <c r="I133" t="str">
        <f>IF(ISBLANK(INDEX('Milestone Tracker – IHP'!$H:$H,135)),"",INDEX('Milestone Tracker – IHP'!$H:$H,135))</f>
        <v/>
      </c>
      <c r="J133" t="e">
        <f>IF(ISBLANK(INDEX('Milestone Tracker – IHP'!#REF!,135)),"",INDEX('Milestone Tracker – IHP'!#REF!,135))</f>
        <v>#REF!</v>
      </c>
      <c r="K133">
        <f t="shared" si="4"/>
        <v>0</v>
      </c>
      <c r="L133">
        <f t="shared" si="5"/>
        <v>0</v>
      </c>
    </row>
    <row r="134" spans="1:12" x14ac:dyDescent="0.35">
      <c r="A134">
        <v>136</v>
      </c>
      <c r="B134">
        <f>IF(ISBLANK(INDEX('Milestone Tracker – IHP'!$B:$B,136)),B133,INDEX('Milestone Tracker – IHP'!$B:$B,136))</f>
        <v>0</v>
      </c>
      <c r="C134">
        <f>IF(ISBLANK(INDEX('Milestone Tracker – IHP'!$C:$C,136)),C133,INDEX('Milestone Tracker – IHP'!$C:$C,136))</f>
        <v>0</v>
      </c>
      <c r="D134">
        <f>IF(ISBLANK(INDEX('Milestone Tracker – IHP'!$D:$D,136)),D133,INDEX('Milestone Tracker – IHP'!$D:$D,136))</f>
        <v>0</v>
      </c>
      <c r="E134" t="str">
        <f>IF(ISBLANK(INDEX('Milestone Tracker – IHP'!$E:$E,136)),"",INDEX('Milestone Tracker – IHP'!$E:$E,136))</f>
        <v/>
      </c>
      <c r="F134" t="str">
        <f>IF(ISBLANK(INDEX('Milestone Tracker – IHP'!$F:$F,136)),"",INDEX('Milestone Tracker – IHP'!$F:$F,136))</f>
        <v/>
      </c>
      <c r="G134" t="e">
        <f>IF(ISBLANK(INDEX('Milestone Tracker – IHP'!#REF!,136)),"",INDEX('Milestone Tracker – IHP'!#REF!,136))</f>
        <v>#REF!</v>
      </c>
      <c r="H134" t="str">
        <f>IF(ISBLANK(INDEX('Milestone Tracker – IHP'!$G:$G,136)),"",INDEX('Milestone Tracker – IHP'!$G:$G,136))</f>
        <v/>
      </c>
      <c r="I134" t="str">
        <f>IF(ISBLANK(INDEX('Milestone Tracker – IHP'!$H:$H,136)),"",INDEX('Milestone Tracker – IHP'!$H:$H,136))</f>
        <v/>
      </c>
      <c r="J134" t="e">
        <f>IF(ISBLANK(INDEX('Milestone Tracker – IHP'!#REF!,136)),"",INDEX('Milestone Tracker – IHP'!#REF!,136))</f>
        <v>#REF!</v>
      </c>
      <c r="K134">
        <f t="shared" si="4"/>
        <v>0</v>
      </c>
      <c r="L134">
        <f t="shared" si="5"/>
        <v>0</v>
      </c>
    </row>
    <row r="135" spans="1:12" x14ac:dyDescent="0.35">
      <c r="A135">
        <v>137</v>
      </c>
      <c r="B135">
        <f>IF(ISBLANK(INDEX('Milestone Tracker – IHP'!$B:$B,137)),B134,INDEX('Milestone Tracker – IHP'!$B:$B,137))</f>
        <v>0</v>
      </c>
      <c r="C135">
        <f>IF(ISBLANK(INDEX('Milestone Tracker – IHP'!$C:$C,137)),C134,INDEX('Milestone Tracker – IHP'!$C:$C,137))</f>
        <v>0</v>
      </c>
      <c r="D135">
        <f>IF(ISBLANK(INDEX('Milestone Tracker – IHP'!$D:$D,137)),D134,INDEX('Milestone Tracker – IHP'!$D:$D,137))</f>
        <v>0</v>
      </c>
      <c r="E135" t="str">
        <f>IF(ISBLANK(INDEX('Milestone Tracker – IHP'!$E:$E,137)),"",INDEX('Milestone Tracker – IHP'!$E:$E,137))</f>
        <v/>
      </c>
      <c r="F135" t="str">
        <f>IF(ISBLANK(INDEX('Milestone Tracker – IHP'!$F:$F,137)),"",INDEX('Milestone Tracker – IHP'!$F:$F,137))</f>
        <v/>
      </c>
      <c r="G135" t="e">
        <f>IF(ISBLANK(INDEX('Milestone Tracker – IHP'!#REF!,137)),"",INDEX('Milestone Tracker – IHP'!#REF!,137))</f>
        <v>#REF!</v>
      </c>
      <c r="H135" t="str">
        <f>IF(ISBLANK(INDEX('Milestone Tracker – IHP'!$G:$G,137)),"",INDEX('Milestone Tracker – IHP'!$G:$G,137))</f>
        <v/>
      </c>
      <c r="I135" t="str">
        <f>IF(ISBLANK(INDEX('Milestone Tracker – IHP'!$H:$H,137)),"",INDEX('Milestone Tracker – IHP'!$H:$H,137))</f>
        <v/>
      </c>
      <c r="J135" t="e">
        <f>IF(ISBLANK(INDEX('Milestone Tracker – IHP'!#REF!,137)),"",INDEX('Milestone Tracker – IHP'!#REF!,137))</f>
        <v>#REF!</v>
      </c>
      <c r="K135">
        <f t="shared" si="4"/>
        <v>0</v>
      </c>
      <c r="L135">
        <f t="shared" si="5"/>
        <v>0</v>
      </c>
    </row>
    <row r="136" spans="1:12" x14ac:dyDescent="0.35">
      <c r="A136">
        <v>138</v>
      </c>
      <c r="B136">
        <f>IF(ISBLANK(INDEX('Milestone Tracker – IHP'!$B:$B,138)),B135,INDEX('Milestone Tracker – IHP'!$B:$B,138))</f>
        <v>0</v>
      </c>
      <c r="C136">
        <f>IF(ISBLANK(INDEX('Milestone Tracker – IHP'!$C:$C,138)),C135,INDEX('Milestone Tracker – IHP'!$C:$C,138))</f>
        <v>0</v>
      </c>
      <c r="D136">
        <f>IF(ISBLANK(INDEX('Milestone Tracker – IHP'!$D:$D,138)),D135,INDEX('Milestone Tracker – IHP'!$D:$D,138))</f>
        <v>0</v>
      </c>
      <c r="E136" t="str">
        <f>IF(ISBLANK(INDEX('Milestone Tracker – IHP'!$E:$E,138)),"",INDEX('Milestone Tracker – IHP'!$E:$E,138))</f>
        <v/>
      </c>
      <c r="F136" t="str">
        <f>IF(ISBLANK(INDEX('Milestone Tracker – IHP'!$F:$F,138)),"",INDEX('Milestone Tracker – IHP'!$F:$F,138))</f>
        <v/>
      </c>
      <c r="G136" t="e">
        <f>IF(ISBLANK(INDEX('Milestone Tracker – IHP'!#REF!,138)),"",INDEX('Milestone Tracker – IHP'!#REF!,138))</f>
        <v>#REF!</v>
      </c>
      <c r="H136" t="str">
        <f>IF(ISBLANK(INDEX('Milestone Tracker – IHP'!$G:$G,138)),"",INDEX('Milestone Tracker – IHP'!$G:$G,138))</f>
        <v/>
      </c>
      <c r="I136" t="str">
        <f>IF(ISBLANK(INDEX('Milestone Tracker – IHP'!$H:$H,138)),"",INDEX('Milestone Tracker – IHP'!$H:$H,138))</f>
        <v/>
      </c>
      <c r="J136" t="e">
        <f>IF(ISBLANK(INDEX('Milestone Tracker – IHP'!#REF!,138)),"",INDEX('Milestone Tracker – IHP'!#REF!,138))</f>
        <v>#REF!</v>
      </c>
      <c r="K136">
        <f t="shared" si="4"/>
        <v>0</v>
      </c>
      <c r="L136">
        <f t="shared" si="5"/>
        <v>0</v>
      </c>
    </row>
    <row r="137" spans="1:12" x14ac:dyDescent="0.35">
      <c r="A137">
        <v>139</v>
      </c>
      <c r="B137">
        <f>IF(ISBLANK(INDEX('Milestone Tracker – IHP'!$B:$B,139)),B136,INDEX('Milestone Tracker – IHP'!$B:$B,139))</f>
        <v>0</v>
      </c>
      <c r="C137">
        <f>IF(ISBLANK(INDEX('Milestone Tracker – IHP'!$C:$C,139)),C136,INDEX('Milestone Tracker – IHP'!$C:$C,139))</f>
        <v>0</v>
      </c>
      <c r="D137">
        <f>IF(ISBLANK(INDEX('Milestone Tracker – IHP'!$D:$D,139)),D136,INDEX('Milestone Tracker – IHP'!$D:$D,139))</f>
        <v>0</v>
      </c>
      <c r="E137" t="str">
        <f>IF(ISBLANK(INDEX('Milestone Tracker – IHP'!$E:$E,139)),"",INDEX('Milestone Tracker – IHP'!$E:$E,139))</f>
        <v/>
      </c>
      <c r="F137" t="str">
        <f>IF(ISBLANK(INDEX('Milestone Tracker – IHP'!$F:$F,139)),"",INDEX('Milestone Tracker – IHP'!$F:$F,139))</f>
        <v/>
      </c>
      <c r="G137" t="e">
        <f>IF(ISBLANK(INDEX('Milestone Tracker – IHP'!#REF!,139)),"",INDEX('Milestone Tracker – IHP'!#REF!,139))</f>
        <v>#REF!</v>
      </c>
      <c r="H137" t="str">
        <f>IF(ISBLANK(INDEX('Milestone Tracker – IHP'!$G:$G,139)),"",INDEX('Milestone Tracker – IHP'!$G:$G,139))</f>
        <v/>
      </c>
      <c r="I137" t="str">
        <f>IF(ISBLANK(INDEX('Milestone Tracker – IHP'!$H:$H,139)),"",INDEX('Milestone Tracker – IHP'!$H:$H,139))</f>
        <v/>
      </c>
      <c r="J137" t="e">
        <f>IF(ISBLANK(INDEX('Milestone Tracker – IHP'!#REF!,139)),"",INDEX('Milestone Tracker – IHP'!#REF!,139))</f>
        <v>#REF!</v>
      </c>
      <c r="K137">
        <f t="shared" si="4"/>
        <v>0</v>
      </c>
      <c r="L137">
        <f t="shared" si="5"/>
        <v>0</v>
      </c>
    </row>
    <row r="138" spans="1:12" x14ac:dyDescent="0.35">
      <c r="A138">
        <v>140</v>
      </c>
      <c r="B138">
        <f>IF(ISBLANK(INDEX('Milestone Tracker – IHP'!$B:$B,140)),B137,INDEX('Milestone Tracker – IHP'!$B:$B,140))</f>
        <v>0</v>
      </c>
      <c r="C138">
        <f>IF(ISBLANK(INDEX('Milestone Tracker – IHP'!$C:$C,140)),C137,INDEX('Milestone Tracker – IHP'!$C:$C,140))</f>
        <v>0</v>
      </c>
      <c r="D138">
        <f>IF(ISBLANK(INDEX('Milestone Tracker – IHP'!$D:$D,140)),D137,INDEX('Milestone Tracker – IHP'!$D:$D,140))</f>
        <v>0</v>
      </c>
      <c r="E138" t="str">
        <f>IF(ISBLANK(INDEX('Milestone Tracker – IHP'!$E:$E,140)),"",INDEX('Milestone Tracker – IHP'!$E:$E,140))</f>
        <v/>
      </c>
      <c r="F138" t="str">
        <f>IF(ISBLANK(INDEX('Milestone Tracker – IHP'!$F:$F,140)),"",INDEX('Milestone Tracker – IHP'!$F:$F,140))</f>
        <v/>
      </c>
      <c r="G138" t="e">
        <f>IF(ISBLANK(INDEX('Milestone Tracker – IHP'!#REF!,140)),"",INDEX('Milestone Tracker – IHP'!#REF!,140))</f>
        <v>#REF!</v>
      </c>
      <c r="H138" t="str">
        <f>IF(ISBLANK(INDEX('Milestone Tracker – IHP'!$G:$G,140)),"",INDEX('Milestone Tracker – IHP'!$G:$G,140))</f>
        <v/>
      </c>
      <c r="I138" t="str">
        <f>IF(ISBLANK(INDEX('Milestone Tracker – IHP'!$H:$H,140)),"",INDEX('Milestone Tracker – IHP'!$H:$H,140))</f>
        <v/>
      </c>
      <c r="J138" t="e">
        <f>IF(ISBLANK(INDEX('Milestone Tracker – IHP'!#REF!,140)),"",INDEX('Milestone Tracker – IHP'!#REF!,140))</f>
        <v>#REF!</v>
      </c>
      <c r="K138">
        <f t="shared" si="4"/>
        <v>0</v>
      </c>
      <c r="L138">
        <f t="shared" si="5"/>
        <v>0</v>
      </c>
    </row>
    <row r="139" spans="1:12" x14ac:dyDescent="0.35">
      <c r="A139">
        <v>141</v>
      </c>
      <c r="B139">
        <f>IF(ISBLANK(INDEX('Milestone Tracker – IHP'!$B:$B,141)),B138,INDEX('Milestone Tracker – IHP'!$B:$B,141))</f>
        <v>0</v>
      </c>
      <c r="C139">
        <f>IF(ISBLANK(INDEX('Milestone Tracker – IHP'!$C:$C,141)),C138,INDEX('Milestone Tracker – IHP'!$C:$C,141))</f>
        <v>0</v>
      </c>
      <c r="D139">
        <f>IF(ISBLANK(INDEX('Milestone Tracker – IHP'!$D:$D,141)),D138,INDEX('Milestone Tracker – IHP'!$D:$D,141))</f>
        <v>0</v>
      </c>
      <c r="E139" t="str">
        <f>IF(ISBLANK(INDEX('Milestone Tracker – IHP'!$E:$E,141)),"",INDEX('Milestone Tracker – IHP'!$E:$E,141))</f>
        <v/>
      </c>
      <c r="F139" t="str">
        <f>IF(ISBLANK(INDEX('Milestone Tracker – IHP'!$F:$F,141)),"",INDEX('Milestone Tracker – IHP'!$F:$F,141))</f>
        <v/>
      </c>
      <c r="G139" t="e">
        <f>IF(ISBLANK(INDEX('Milestone Tracker – IHP'!#REF!,141)),"",INDEX('Milestone Tracker – IHP'!#REF!,141))</f>
        <v>#REF!</v>
      </c>
      <c r="H139" t="str">
        <f>IF(ISBLANK(INDEX('Milestone Tracker – IHP'!$G:$G,141)),"",INDEX('Milestone Tracker – IHP'!$G:$G,141))</f>
        <v/>
      </c>
      <c r="I139" t="str">
        <f>IF(ISBLANK(INDEX('Milestone Tracker – IHP'!$H:$H,141)),"",INDEX('Milestone Tracker – IHP'!$H:$H,141))</f>
        <v/>
      </c>
      <c r="J139" t="e">
        <f>IF(ISBLANK(INDEX('Milestone Tracker – IHP'!#REF!,141)),"",INDEX('Milestone Tracker – IHP'!#REF!,141))</f>
        <v>#REF!</v>
      </c>
      <c r="K139">
        <f t="shared" si="4"/>
        <v>0</v>
      </c>
      <c r="L139">
        <f t="shared" si="5"/>
        <v>0</v>
      </c>
    </row>
    <row r="140" spans="1:12" x14ac:dyDescent="0.35">
      <c r="A140">
        <v>142</v>
      </c>
      <c r="B140">
        <f>IF(ISBLANK(INDEX('Milestone Tracker – IHP'!$B:$B,142)),B139,INDEX('Milestone Tracker – IHP'!$B:$B,142))</f>
        <v>0</v>
      </c>
      <c r="C140">
        <f>IF(ISBLANK(INDEX('Milestone Tracker – IHP'!$C:$C,142)),C139,INDEX('Milestone Tracker – IHP'!$C:$C,142))</f>
        <v>0</v>
      </c>
      <c r="D140">
        <f>IF(ISBLANK(INDEX('Milestone Tracker – IHP'!$D:$D,142)),D139,INDEX('Milestone Tracker – IHP'!$D:$D,142))</f>
        <v>0</v>
      </c>
      <c r="E140" t="str">
        <f>IF(ISBLANK(INDEX('Milestone Tracker – IHP'!$E:$E,142)),"",INDEX('Milestone Tracker – IHP'!$E:$E,142))</f>
        <v/>
      </c>
      <c r="F140" t="str">
        <f>IF(ISBLANK(INDEX('Milestone Tracker – IHP'!$F:$F,142)),"",INDEX('Milestone Tracker – IHP'!$F:$F,142))</f>
        <v/>
      </c>
      <c r="G140" t="e">
        <f>IF(ISBLANK(INDEX('Milestone Tracker – IHP'!#REF!,142)),"",INDEX('Milestone Tracker – IHP'!#REF!,142))</f>
        <v>#REF!</v>
      </c>
      <c r="H140" t="str">
        <f>IF(ISBLANK(INDEX('Milestone Tracker – IHP'!$G:$G,142)),"",INDEX('Milestone Tracker – IHP'!$G:$G,142))</f>
        <v/>
      </c>
      <c r="I140" t="str">
        <f>IF(ISBLANK(INDEX('Milestone Tracker – IHP'!$H:$H,142)),"",INDEX('Milestone Tracker – IHP'!$H:$H,142))</f>
        <v/>
      </c>
      <c r="J140" t="e">
        <f>IF(ISBLANK(INDEX('Milestone Tracker – IHP'!#REF!,142)),"",INDEX('Milestone Tracker – IHP'!#REF!,142))</f>
        <v>#REF!</v>
      </c>
      <c r="K140">
        <f t="shared" si="4"/>
        <v>0</v>
      </c>
      <c r="L140">
        <f t="shared" si="5"/>
        <v>0</v>
      </c>
    </row>
    <row r="141" spans="1:12" x14ac:dyDescent="0.35">
      <c r="A141">
        <v>143</v>
      </c>
      <c r="B141">
        <f>IF(ISBLANK(INDEX('Milestone Tracker – IHP'!$B:$B,143)),B140,INDEX('Milestone Tracker – IHP'!$B:$B,143))</f>
        <v>0</v>
      </c>
      <c r="C141">
        <f>IF(ISBLANK(INDEX('Milestone Tracker – IHP'!$C:$C,143)),C140,INDEX('Milestone Tracker – IHP'!$C:$C,143))</f>
        <v>0</v>
      </c>
      <c r="D141">
        <f>IF(ISBLANK(INDEX('Milestone Tracker – IHP'!$D:$D,143)),D140,INDEX('Milestone Tracker – IHP'!$D:$D,143))</f>
        <v>0</v>
      </c>
      <c r="E141" t="str">
        <f>IF(ISBLANK(INDEX('Milestone Tracker – IHP'!$E:$E,143)),"",INDEX('Milestone Tracker – IHP'!$E:$E,143))</f>
        <v/>
      </c>
      <c r="F141" t="str">
        <f>IF(ISBLANK(INDEX('Milestone Tracker – IHP'!$F:$F,143)),"",INDEX('Milestone Tracker – IHP'!$F:$F,143))</f>
        <v/>
      </c>
      <c r="G141" t="e">
        <f>IF(ISBLANK(INDEX('Milestone Tracker – IHP'!#REF!,143)),"",INDEX('Milestone Tracker – IHP'!#REF!,143))</f>
        <v>#REF!</v>
      </c>
      <c r="H141" t="str">
        <f>IF(ISBLANK(INDEX('Milestone Tracker – IHP'!$G:$G,143)),"",INDEX('Milestone Tracker – IHP'!$G:$G,143))</f>
        <v/>
      </c>
      <c r="I141" t="str">
        <f>IF(ISBLANK(INDEX('Milestone Tracker – IHP'!$H:$H,143)),"",INDEX('Milestone Tracker – IHP'!$H:$H,143))</f>
        <v/>
      </c>
      <c r="J141" t="e">
        <f>IF(ISBLANK(INDEX('Milestone Tracker – IHP'!#REF!,143)),"",INDEX('Milestone Tracker – IHP'!#REF!,143))</f>
        <v>#REF!</v>
      </c>
      <c r="K141">
        <f t="shared" si="4"/>
        <v>0</v>
      </c>
      <c r="L141">
        <f t="shared" si="5"/>
        <v>0</v>
      </c>
    </row>
    <row r="142" spans="1:12" x14ac:dyDescent="0.35">
      <c r="A142">
        <v>144</v>
      </c>
      <c r="B142">
        <f>IF(ISBLANK(INDEX('Milestone Tracker – IHP'!$B:$B,144)),B141,INDEX('Milestone Tracker – IHP'!$B:$B,144))</f>
        <v>0</v>
      </c>
      <c r="C142">
        <f>IF(ISBLANK(INDEX('Milestone Tracker – IHP'!$C:$C,144)),C141,INDEX('Milestone Tracker – IHP'!$C:$C,144))</f>
        <v>0</v>
      </c>
      <c r="D142">
        <f>IF(ISBLANK(INDEX('Milestone Tracker – IHP'!$D:$D,144)),D141,INDEX('Milestone Tracker – IHP'!$D:$D,144))</f>
        <v>0</v>
      </c>
      <c r="E142" t="str">
        <f>IF(ISBLANK(INDEX('Milestone Tracker – IHP'!$E:$E,144)),"",INDEX('Milestone Tracker – IHP'!$E:$E,144))</f>
        <v/>
      </c>
      <c r="F142" t="str">
        <f>IF(ISBLANK(INDEX('Milestone Tracker – IHP'!$F:$F,144)),"",INDEX('Milestone Tracker – IHP'!$F:$F,144))</f>
        <v/>
      </c>
      <c r="G142" t="e">
        <f>IF(ISBLANK(INDEX('Milestone Tracker – IHP'!#REF!,144)),"",INDEX('Milestone Tracker – IHP'!#REF!,144))</f>
        <v>#REF!</v>
      </c>
      <c r="H142" t="str">
        <f>IF(ISBLANK(INDEX('Milestone Tracker – IHP'!$G:$G,144)),"",INDEX('Milestone Tracker – IHP'!$G:$G,144))</f>
        <v/>
      </c>
      <c r="I142" t="str">
        <f>IF(ISBLANK(INDEX('Milestone Tracker – IHP'!$H:$H,144)),"",INDEX('Milestone Tracker – IHP'!$H:$H,144))</f>
        <v/>
      </c>
      <c r="J142" t="e">
        <f>IF(ISBLANK(INDEX('Milestone Tracker – IHP'!#REF!,144)),"",INDEX('Milestone Tracker – IHP'!#REF!,144))</f>
        <v>#REF!</v>
      </c>
      <c r="K142">
        <f t="shared" si="4"/>
        <v>0</v>
      </c>
      <c r="L142">
        <f t="shared" si="5"/>
        <v>0</v>
      </c>
    </row>
    <row r="143" spans="1:12" x14ac:dyDescent="0.35">
      <c r="A143">
        <v>145</v>
      </c>
      <c r="B143">
        <f>IF(ISBLANK(INDEX('Milestone Tracker – IHP'!$B:$B,145)),B142,INDEX('Milestone Tracker – IHP'!$B:$B,145))</f>
        <v>0</v>
      </c>
      <c r="C143">
        <f>IF(ISBLANK(INDEX('Milestone Tracker – IHP'!$C:$C,145)),C142,INDEX('Milestone Tracker – IHP'!$C:$C,145))</f>
        <v>0</v>
      </c>
      <c r="D143">
        <f>IF(ISBLANK(INDEX('Milestone Tracker – IHP'!$D:$D,145)),D142,INDEX('Milestone Tracker – IHP'!$D:$D,145))</f>
        <v>0</v>
      </c>
      <c r="E143" t="str">
        <f>IF(ISBLANK(INDEX('Milestone Tracker – IHP'!$E:$E,145)),"",INDEX('Milestone Tracker – IHP'!$E:$E,145))</f>
        <v/>
      </c>
      <c r="F143" t="str">
        <f>IF(ISBLANK(INDEX('Milestone Tracker – IHP'!$F:$F,145)),"",INDEX('Milestone Tracker – IHP'!$F:$F,145))</f>
        <v/>
      </c>
      <c r="G143" t="e">
        <f>IF(ISBLANK(INDEX('Milestone Tracker – IHP'!#REF!,145)),"",INDEX('Milestone Tracker – IHP'!#REF!,145))</f>
        <v>#REF!</v>
      </c>
      <c r="H143" t="str">
        <f>IF(ISBLANK(INDEX('Milestone Tracker – IHP'!$G:$G,145)),"",INDEX('Milestone Tracker – IHP'!$G:$G,145))</f>
        <v/>
      </c>
      <c r="I143" t="str">
        <f>IF(ISBLANK(INDEX('Milestone Tracker – IHP'!$H:$H,145)),"",INDEX('Milestone Tracker – IHP'!$H:$H,145))</f>
        <v/>
      </c>
      <c r="J143" t="e">
        <f>IF(ISBLANK(INDEX('Milestone Tracker – IHP'!#REF!,145)),"",INDEX('Milestone Tracker – IHP'!#REF!,145))</f>
        <v>#REF!</v>
      </c>
      <c r="K143">
        <f t="shared" si="4"/>
        <v>0</v>
      </c>
      <c r="L143">
        <f t="shared" si="5"/>
        <v>0</v>
      </c>
    </row>
    <row r="144" spans="1:12" x14ac:dyDescent="0.35">
      <c r="A144">
        <v>146</v>
      </c>
      <c r="B144">
        <f>IF(ISBLANK(INDEX('Milestone Tracker – IHP'!$B:$B,146)),B143,INDEX('Milestone Tracker – IHP'!$B:$B,146))</f>
        <v>0</v>
      </c>
      <c r="C144">
        <f>IF(ISBLANK(INDEX('Milestone Tracker – IHP'!$C:$C,146)),C143,INDEX('Milestone Tracker – IHP'!$C:$C,146))</f>
        <v>0</v>
      </c>
      <c r="D144">
        <f>IF(ISBLANK(INDEX('Milestone Tracker – IHP'!$D:$D,146)),D143,INDEX('Milestone Tracker – IHP'!$D:$D,146))</f>
        <v>0</v>
      </c>
      <c r="E144" t="str">
        <f>IF(ISBLANK(INDEX('Milestone Tracker – IHP'!$E:$E,146)),"",INDEX('Milestone Tracker – IHP'!$E:$E,146))</f>
        <v/>
      </c>
      <c r="F144" t="str">
        <f>IF(ISBLANK(INDEX('Milestone Tracker – IHP'!$F:$F,146)),"",INDEX('Milestone Tracker – IHP'!$F:$F,146))</f>
        <v/>
      </c>
      <c r="G144" t="e">
        <f>IF(ISBLANK(INDEX('Milestone Tracker – IHP'!#REF!,146)),"",INDEX('Milestone Tracker – IHP'!#REF!,146))</f>
        <v>#REF!</v>
      </c>
      <c r="H144" t="str">
        <f>IF(ISBLANK(INDEX('Milestone Tracker – IHP'!$G:$G,146)),"",INDEX('Milestone Tracker – IHP'!$G:$G,146))</f>
        <v/>
      </c>
      <c r="I144" t="str">
        <f>IF(ISBLANK(INDEX('Milestone Tracker – IHP'!$H:$H,146)),"",INDEX('Milestone Tracker – IHP'!$H:$H,146))</f>
        <v/>
      </c>
      <c r="J144" t="e">
        <f>IF(ISBLANK(INDEX('Milestone Tracker – IHP'!#REF!,146)),"",INDEX('Milestone Tracker – IHP'!#REF!,146))</f>
        <v>#REF!</v>
      </c>
      <c r="K144">
        <f t="shared" si="4"/>
        <v>0</v>
      </c>
      <c r="L144">
        <f t="shared" si="5"/>
        <v>0</v>
      </c>
    </row>
    <row r="145" spans="1:12" x14ac:dyDescent="0.35">
      <c r="A145">
        <v>147</v>
      </c>
      <c r="B145">
        <f>IF(ISBLANK(INDEX('Milestone Tracker – IHP'!$B:$B,147)),B144,INDEX('Milestone Tracker – IHP'!$B:$B,147))</f>
        <v>0</v>
      </c>
      <c r="C145">
        <f>IF(ISBLANK(INDEX('Milestone Tracker – IHP'!$C:$C,147)),C144,INDEX('Milestone Tracker – IHP'!$C:$C,147))</f>
        <v>0</v>
      </c>
      <c r="D145">
        <f>IF(ISBLANK(INDEX('Milestone Tracker – IHP'!$D:$D,147)),D144,INDEX('Milestone Tracker – IHP'!$D:$D,147))</f>
        <v>0</v>
      </c>
      <c r="E145" t="str">
        <f>IF(ISBLANK(INDEX('Milestone Tracker – IHP'!$E:$E,147)),"",INDEX('Milestone Tracker – IHP'!$E:$E,147))</f>
        <v/>
      </c>
      <c r="F145" t="str">
        <f>IF(ISBLANK(INDEX('Milestone Tracker – IHP'!$F:$F,147)),"",INDEX('Milestone Tracker – IHP'!$F:$F,147))</f>
        <v/>
      </c>
      <c r="G145" t="e">
        <f>IF(ISBLANK(INDEX('Milestone Tracker – IHP'!#REF!,147)),"",INDEX('Milestone Tracker – IHP'!#REF!,147))</f>
        <v>#REF!</v>
      </c>
      <c r="H145" t="str">
        <f>IF(ISBLANK(INDEX('Milestone Tracker – IHP'!$G:$G,147)),"",INDEX('Milestone Tracker – IHP'!$G:$G,147))</f>
        <v/>
      </c>
      <c r="I145" t="str">
        <f>IF(ISBLANK(INDEX('Milestone Tracker – IHP'!$H:$H,147)),"",INDEX('Milestone Tracker – IHP'!$H:$H,147))</f>
        <v/>
      </c>
      <c r="J145" t="e">
        <f>IF(ISBLANK(INDEX('Milestone Tracker – IHP'!#REF!,147)),"",INDEX('Milestone Tracker – IHP'!#REF!,147))</f>
        <v>#REF!</v>
      </c>
      <c r="K145">
        <f t="shared" si="4"/>
        <v>0</v>
      </c>
      <c r="L145">
        <f t="shared" si="5"/>
        <v>0</v>
      </c>
    </row>
    <row r="146" spans="1:12" x14ac:dyDescent="0.35">
      <c r="A146">
        <v>148</v>
      </c>
      <c r="B146">
        <f>IF(ISBLANK(INDEX('Milestone Tracker – IHP'!$B:$B,148)),B145,INDEX('Milestone Tracker – IHP'!$B:$B,148))</f>
        <v>0</v>
      </c>
      <c r="C146">
        <f>IF(ISBLANK(INDEX('Milestone Tracker – IHP'!$C:$C,148)),C145,INDEX('Milestone Tracker – IHP'!$C:$C,148))</f>
        <v>0</v>
      </c>
      <c r="D146">
        <f>IF(ISBLANK(INDEX('Milestone Tracker – IHP'!$D:$D,148)),D145,INDEX('Milestone Tracker – IHP'!$D:$D,148))</f>
        <v>0</v>
      </c>
      <c r="E146" t="str">
        <f>IF(ISBLANK(INDEX('Milestone Tracker – IHP'!$E:$E,148)),"",INDEX('Milestone Tracker – IHP'!$E:$E,148))</f>
        <v/>
      </c>
      <c r="F146" t="str">
        <f>IF(ISBLANK(INDEX('Milestone Tracker – IHP'!$F:$F,148)),"",INDEX('Milestone Tracker – IHP'!$F:$F,148))</f>
        <v/>
      </c>
      <c r="G146" t="e">
        <f>IF(ISBLANK(INDEX('Milestone Tracker – IHP'!#REF!,148)),"",INDEX('Milestone Tracker – IHP'!#REF!,148))</f>
        <v>#REF!</v>
      </c>
      <c r="H146" t="str">
        <f>IF(ISBLANK(INDEX('Milestone Tracker – IHP'!$G:$G,148)),"",INDEX('Milestone Tracker – IHP'!$G:$G,148))</f>
        <v/>
      </c>
      <c r="I146" t="str">
        <f>IF(ISBLANK(INDEX('Milestone Tracker – IHP'!$H:$H,148)),"",INDEX('Milestone Tracker – IHP'!$H:$H,148))</f>
        <v/>
      </c>
      <c r="J146" t="e">
        <f>IF(ISBLANK(INDEX('Milestone Tracker – IHP'!#REF!,148)),"",INDEX('Milestone Tracker – IHP'!#REF!,148))</f>
        <v>#REF!</v>
      </c>
      <c r="K146">
        <f t="shared" si="4"/>
        <v>0</v>
      </c>
      <c r="L146">
        <f t="shared" si="5"/>
        <v>0</v>
      </c>
    </row>
    <row r="147" spans="1:12" x14ac:dyDescent="0.35">
      <c r="A147">
        <v>149</v>
      </c>
      <c r="B147">
        <f>IF(ISBLANK(INDEX('Milestone Tracker – IHP'!$B:$B,149)),B146,INDEX('Milestone Tracker – IHP'!$B:$B,149))</f>
        <v>0</v>
      </c>
      <c r="C147">
        <f>IF(ISBLANK(INDEX('Milestone Tracker – IHP'!$C:$C,149)),C146,INDEX('Milestone Tracker – IHP'!$C:$C,149))</f>
        <v>0</v>
      </c>
      <c r="D147">
        <f>IF(ISBLANK(INDEX('Milestone Tracker – IHP'!$D:$D,149)),D146,INDEX('Milestone Tracker – IHP'!$D:$D,149))</f>
        <v>0</v>
      </c>
      <c r="E147" t="str">
        <f>IF(ISBLANK(INDEX('Milestone Tracker – IHP'!$E:$E,149)),"",INDEX('Milestone Tracker – IHP'!$E:$E,149))</f>
        <v/>
      </c>
      <c r="F147" t="str">
        <f>IF(ISBLANK(INDEX('Milestone Tracker – IHP'!$F:$F,149)),"",INDEX('Milestone Tracker – IHP'!$F:$F,149))</f>
        <v/>
      </c>
      <c r="G147" t="e">
        <f>IF(ISBLANK(INDEX('Milestone Tracker – IHP'!#REF!,149)),"",INDEX('Milestone Tracker – IHP'!#REF!,149))</f>
        <v>#REF!</v>
      </c>
      <c r="H147" t="str">
        <f>IF(ISBLANK(INDEX('Milestone Tracker – IHP'!$G:$G,149)),"",INDEX('Milestone Tracker – IHP'!$G:$G,149))</f>
        <v/>
      </c>
      <c r="I147" t="str">
        <f>IF(ISBLANK(INDEX('Milestone Tracker – IHP'!$H:$H,149)),"",INDEX('Milestone Tracker – IHP'!$H:$H,149))</f>
        <v/>
      </c>
      <c r="J147" t="e">
        <f>IF(ISBLANK(INDEX('Milestone Tracker – IHP'!#REF!,149)),"",INDEX('Milestone Tracker – IHP'!#REF!,149))</f>
        <v>#REF!</v>
      </c>
      <c r="K147">
        <f t="shared" si="4"/>
        <v>0</v>
      </c>
      <c r="L147">
        <f t="shared" si="5"/>
        <v>0</v>
      </c>
    </row>
    <row r="148" spans="1:12" x14ac:dyDescent="0.35">
      <c r="A148">
        <v>150</v>
      </c>
      <c r="B148">
        <f>IF(ISBLANK(INDEX('Milestone Tracker – IHP'!$B:$B,150)),B147,INDEX('Milestone Tracker – IHP'!$B:$B,150))</f>
        <v>0</v>
      </c>
      <c r="C148">
        <f>IF(ISBLANK(INDEX('Milestone Tracker – IHP'!$C:$C,150)),C147,INDEX('Milestone Tracker – IHP'!$C:$C,150))</f>
        <v>0</v>
      </c>
      <c r="D148">
        <f>IF(ISBLANK(INDEX('Milestone Tracker – IHP'!$D:$D,150)),D147,INDEX('Milestone Tracker – IHP'!$D:$D,150))</f>
        <v>0</v>
      </c>
      <c r="E148" t="str">
        <f>IF(ISBLANK(INDEX('Milestone Tracker – IHP'!$E:$E,150)),"",INDEX('Milestone Tracker – IHP'!$E:$E,150))</f>
        <v/>
      </c>
      <c r="F148" t="str">
        <f>IF(ISBLANK(INDEX('Milestone Tracker – IHP'!$F:$F,150)),"",INDEX('Milestone Tracker – IHP'!$F:$F,150))</f>
        <v/>
      </c>
      <c r="G148" t="e">
        <f>IF(ISBLANK(INDEX('Milestone Tracker – IHP'!#REF!,150)),"",INDEX('Milestone Tracker – IHP'!#REF!,150))</f>
        <v>#REF!</v>
      </c>
      <c r="H148" t="str">
        <f>IF(ISBLANK(INDEX('Milestone Tracker – IHP'!$G:$G,150)),"",INDEX('Milestone Tracker – IHP'!$G:$G,150))</f>
        <v/>
      </c>
      <c r="I148" t="str">
        <f>IF(ISBLANK(INDEX('Milestone Tracker – IHP'!$H:$H,150)),"",INDEX('Milestone Tracker – IHP'!$H:$H,150))</f>
        <v/>
      </c>
      <c r="J148" t="e">
        <f>IF(ISBLANK(INDEX('Milestone Tracker – IHP'!#REF!,150)),"",INDEX('Milestone Tracker – IHP'!#REF!,150))</f>
        <v>#REF!</v>
      </c>
      <c r="K148">
        <f t="shared" si="4"/>
        <v>0</v>
      </c>
      <c r="L148">
        <f t="shared" si="5"/>
        <v>0</v>
      </c>
    </row>
    <row r="149" spans="1:12" x14ac:dyDescent="0.35">
      <c r="A149">
        <v>151</v>
      </c>
      <c r="B149">
        <f>IF(ISBLANK(INDEX('Milestone Tracker – IHP'!$B:$B,151)),B148,INDEX('Milestone Tracker – IHP'!$B:$B,151))</f>
        <v>0</v>
      </c>
      <c r="C149">
        <f>IF(ISBLANK(INDEX('Milestone Tracker – IHP'!$C:$C,151)),C148,INDEX('Milestone Tracker – IHP'!$C:$C,151))</f>
        <v>0</v>
      </c>
      <c r="D149">
        <f>IF(ISBLANK(INDEX('Milestone Tracker – IHP'!$D:$D,151)),D148,INDEX('Milestone Tracker – IHP'!$D:$D,151))</f>
        <v>0</v>
      </c>
      <c r="E149" t="str">
        <f>IF(ISBLANK(INDEX('Milestone Tracker – IHP'!$E:$E,151)),"",INDEX('Milestone Tracker – IHP'!$E:$E,151))</f>
        <v/>
      </c>
      <c r="F149" t="str">
        <f>IF(ISBLANK(INDEX('Milestone Tracker – IHP'!$F:$F,151)),"",INDEX('Milestone Tracker – IHP'!$F:$F,151))</f>
        <v/>
      </c>
      <c r="G149" t="e">
        <f>IF(ISBLANK(INDEX('Milestone Tracker – IHP'!#REF!,151)),"",INDEX('Milestone Tracker – IHP'!#REF!,151))</f>
        <v>#REF!</v>
      </c>
      <c r="H149" t="str">
        <f>IF(ISBLANK(INDEX('Milestone Tracker – IHP'!$G:$G,151)),"",INDEX('Milestone Tracker – IHP'!$G:$G,151))</f>
        <v/>
      </c>
      <c r="I149" t="str">
        <f>IF(ISBLANK(INDEX('Milestone Tracker – IHP'!$H:$H,151)),"",INDEX('Milestone Tracker – IHP'!$H:$H,151))</f>
        <v/>
      </c>
      <c r="J149" t="e">
        <f>IF(ISBLANK(INDEX('Milestone Tracker – IHP'!#REF!,151)),"",INDEX('Milestone Tracker – IHP'!#REF!,151))</f>
        <v>#REF!</v>
      </c>
      <c r="K149">
        <f t="shared" si="4"/>
        <v>0</v>
      </c>
      <c r="L149">
        <f t="shared" si="5"/>
        <v>0</v>
      </c>
    </row>
    <row r="150" spans="1:12" x14ac:dyDescent="0.35">
      <c r="A150">
        <v>152</v>
      </c>
      <c r="B150">
        <f>IF(ISBLANK(INDEX('Milestone Tracker – IHP'!$B:$B,152)),B149,INDEX('Milestone Tracker – IHP'!$B:$B,152))</f>
        <v>0</v>
      </c>
      <c r="C150">
        <f>IF(ISBLANK(INDEX('Milestone Tracker – IHP'!$C:$C,152)),C149,INDEX('Milestone Tracker – IHP'!$C:$C,152))</f>
        <v>0</v>
      </c>
      <c r="D150">
        <f>IF(ISBLANK(INDEX('Milestone Tracker – IHP'!$D:$D,152)),D149,INDEX('Milestone Tracker – IHP'!$D:$D,152))</f>
        <v>0</v>
      </c>
      <c r="E150" t="str">
        <f>IF(ISBLANK(INDEX('Milestone Tracker – IHP'!$E:$E,152)),"",INDEX('Milestone Tracker – IHP'!$E:$E,152))</f>
        <v/>
      </c>
      <c r="F150" t="str">
        <f>IF(ISBLANK(INDEX('Milestone Tracker – IHP'!$F:$F,152)),"",INDEX('Milestone Tracker – IHP'!$F:$F,152))</f>
        <v/>
      </c>
      <c r="G150" t="e">
        <f>IF(ISBLANK(INDEX('Milestone Tracker – IHP'!#REF!,152)),"",INDEX('Milestone Tracker – IHP'!#REF!,152))</f>
        <v>#REF!</v>
      </c>
      <c r="H150" t="str">
        <f>IF(ISBLANK(INDEX('Milestone Tracker – IHP'!$G:$G,152)),"",INDEX('Milestone Tracker – IHP'!$G:$G,152))</f>
        <v/>
      </c>
      <c r="I150" t="str">
        <f>IF(ISBLANK(INDEX('Milestone Tracker – IHP'!$H:$H,152)),"",INDEX('Milestone Tracker – IHP'!$H:$H,152))</f>
        <v/>
      </c>
      <c r="J150" t="e">
        <f>IF(ISBLANK(INDEX('Milestone Tracker – IHP'!#REF!,152)),"",INDEX('Milestone Tracker – IHP'!#REF!,152))</f>
        <v>#REF!</v>
      </c>
      <c r="K150">
        <f t="shared" si="4"/>
        <v>0</v>
      </c>
      <c r="L150">
        <f t="shared" si="5"/>
        <v>0</v>
      </c>
    </row>
    <row r="151" spans="1:12" x14ac:dyDescent="0.35">
      <c r="A151">
        <v>153</v>
      </c>
      <c r="B151">
        <f>IF(ISBLANK(INDEX('Milestone Tracker – IHP'!$B:$B,153)),B150,INDEX('Milestone Tracker – IHP'!$B:$B,153))</f>
        <v>0</v>
      </c>
      <c r="C151">
        <f>IF(ISBLANK(INDEX('Milestone Tracker – IHP'!$C:$C,153)),C150,INDEX('Milestone Tracker – IHP'!$C:$C,153))</f>
        <v>0</v>
      </c>
      <c r="D151">
        <f>IF(ISBLANK(INDEX('Milestone Tracker – IHP'!$D:$D,153)),D150,INDEX('Milestone Tracker – IHP'!$D:$D,153))</f>
        <v>0</v>
      </c>
      <c r="E151" t="str">
        <f>IF(ISBLANK(INDEX('Milestone Tracker – IHP'!$E:$E,153)),"",INDEX('Milestone Tracker – IHP'!$E:$E,153))</f>
        <v/>
      </c>
      <c r="F151" t="str">
        <f>IF(ISBLANK(INDEX('Milestone Tracker – IHP'!$F:$F,153)),"",INDEX('Milestone Tracker – IHP'!$F:$F,153))</f>
        <v/>
      </c>
      <c r="G151" t="e">
        <f>IF(ISBLANK(INDEX('Milestone Tracker – IHP'!#REF!,153)),"",INDEX('Milestone Tracker – IHP'!#REF!,153))</f>
        <v>#REF!</v>
      </c>
      <c r="H151" t="str">
        <f>IF(ISBLANK(INDEX('Milestone Tracker – IHP'!$G:$G,153)),"",INDEX('Milestone Tracker – IHP'!$G:$G,153))</f>
        <v/>
      </c>
      <c r="I151" t="str">
        <f>IF(ISBLANK(INDEX('Milestone Tracker – IHP'!$H:$H,153)),"",INDEX('Milestone Tracker – IHP'!$H:$H,153))</f>
        <v/>
      </c>
      <c r="J151" t="e">
        <f>IF(ISBLANK(INDEX('Milestone Tracker – IHP'!#REF!,153)),"",INDEX('Milestone Tracker – IHP'!#REF!,153))</f>
        <v>#REF!</v>
      </c>
      <c r="K151">
        <f t="shared" si="4"/>
        <v>0</v>
      </c>
      <c r="L151">
        <f t="shared" si="5"/>
        <v>0</v>
      </c>
    </row>
    <row r="152" spans="1:12" x14ac:dyDescent="0.35">
      <c r="A152">
        <v>154</v>
      </c>
      <c r="B152">
        <f>IF(ISBLANK(INDEX('Milestone Tracker – IHP'!$B:$B,154)),B151,INDEX('Milestone Tracker – IHP'!$B:$B,154))</f>
        <v>0</v>
      </c>
      <c r="C152">
        <f>IF(ISBLANK(INDEX('Milestone Tracker – IHP'!$C:$C,154)),C151,INDEX('Milestone Tracker – IHP'!$C:$C,154))</f>
        <v>0</v>
      </c>
      <c r="D152">
        <f>IF(ISBLANK(INDEX('Milestone Tracker – IHP'!$D:$D,154)),D151,INDEX('Milestone Tracker – IHP'!$D:$D,154))</f>
        <v>0</v>
      </c>
      <c r="E152" t="str">
        <f>IF(ISBLANK(INDEX('Milestone Tracker – IHP'!$E:$E,154)),"",INDEX('Milestone Tracker – IHP'!$E:$E,154))</f>
        <v/>
      </c>
      <c r="F152" t="str">
        <f>IF(ISBLANK(INDEX('Milestone Tracker – IHP'!$F:$F,154)),"",INDEX('Milestone Tracker – IHP'!$F:$F,154))</f>
        <v/>
      </c>
      <c r="G152" t="e">
        <f>IF(ISBLANK(INDEX('Milestone Tracker – IHP'!#REF!,154)),"",INDEX('Milestone Tracker – IHP'!#REF!,154))</f>
        <v>#REF!</v>
      </c>
      <c r="H152" t="str">
        <f>IF(ISBLANK(INDEX('Milestone Tracker – IHP'!$G:$G,154)),"",INDEX('Milestone Tracker – IHP'!$G:$G,154))</f>
        <v/>
      </c>
      <c r="I152" t="str">
        <f>IF(ISBLANK(INDEX('Milestone Tracker – IHP'!$H:$H,154)),"",INDEX('Milestone Tracker – IHP'!$H:$H,154))</f>
        <v/>
      </c>
      <c r="J152" t="e">
        <f>IF(ISBLANK(INDEX('Milestone Tracker – IHP'!#REF!,154)),"",INDEX('Milestone Tracker – IHP'!#REF!,154))</f>
        <v>#REF!</v>
      </c>
      <c r="K152">
        <f t="shared" si="4"/>
        <v>0</v>
      </c>
      <c r="L152">
        <f t="shared" si="5"/>
        <v>0</v>
      </c>
    </row>
    <row r="153" spans="1:12" x14ac:dyDescent="0.35">
      <c r="A153">
        <v>155</v>
      </c>
      <c r="B153">
        <f>IF(ISBLANK(INDEX('Milestone Tracker – IHP'!$B:$B,155)),B152,INDEX('Milestone Tracker – IHP'!$B:$B,155))</f>
        <v>0</v>
      </c>
      <c r="C153">
        <f>IF(ISBLANK(INDEX('Milestone Tracker – IHP'!$C:$C,155)),C152,INDEX('Milestone Tracker – IHP'!$C:$C,155))</f>
        <v>0</v>
      </c>
      <c r="D153">
        <f>IF(ISBLANK(INDEX('Milestone Tracker – IHP'!$D:$D,155)),D152,INDEX('Milestone Tracker – IHP'!$D:$D,155))</f>
        <v>0</v>
      </c>
      <c r="E153" t="str">
        <f>IF(ISBLANK(INDEX('Milestone Tracker – IHP'!$E:$E,155)),"",INDEX('Milestone Tracker – IHP'!$E:$E,155))</f>
        <v/>
      </c>
      <c r="F153" t="str">
        <f>IF(ISBLANK(INDEX('Milestone Tracker – IHP'!$F:$F,155)),"",INDEX('Milestone Tracker – IHP'!$F:$F,155))</f>
        <v/>
      </c>
      <c r="G153" t="e">
        <f>IF(ISBLANK(INDEX('Milestone Tracker – IHP'!#REF!,155)),"",INDEX('Milestone Tracker – IHP'!#REF!,155))</f>
        <v>#REF!</v>
      </c>
      <c r="H153" t="str">
        <f>IF(ISBLANK(INDEX('Milestone Tracker – IHP'!$G:$G,155)),"",INDEX('Milestone Tracker – IHP'!$G:$G,155))</f>
        <v/>
      </c>
      <c r="I153" t="str">
        <f>IF(ISBLANK(INDEX('Milestone Tracker – IHP'!$H:$H,155)),"",INDEX('Milestone Tracker – IHP'!$H:$H,155))</f>
        <v/>
      </c>
      <c r="J153" t="e">
        <f>IF(ISBLANK(INDEX('Milestone Tracker – IHP'!#REF!,155)),"",INDEX('Milestone Tracker – IHP'!#REF!,155))</f>
        <v>#REF!</v>
      </c>
      <c r="K153">
        <f t="shared" si="4"/>
        <v>0</v>
      </c>
      <c r="L153">
        <f t="shared" si="5"/>
        <v>0</v>
      </c>
    </row>
    <row r="154" spans="1:12" x14ac:dyDescent="0.35">
      <c r="A154">
        <v>156</v>
      </c>
      <c r="B154">
        <f>IF(ISBLANK(INDEX('Milestone Tracker – IHP'!$B:$B,156)),B153,INDEX('Milestone Tracker – IHP'!$B:$B,156))</f>
        <v>0</v>
      </c>
      <c r="C154">
        <f>IF(ISBLANK(INDEX('Milestone Tracker – IHP'!$C:$C,156)),C153,INDEX('Milestone Tracker – IHP'!$C:$C,156))</f>
        <v>0</v>
      </c>
      <c r="D154">
        <f>IF(ISBLANK(INDEX('Milestone Tracker – IHP'!$D:$D,156)),D153,INDEX('Milestone Tracker – IHP'!$D:$D,156))</f>
        <v>0</v>
      </c>
      <c r="E154" t="str">
        <f>IF(ISBLANK(INDEX('Milestone Tracker – IHP'!$E:$E,156)),"",INDEX('Milestone Tracker – IHP'!$E:$E,156))</f>
        <v/>
      </c>
      <c r="F154" t="str">
        <f>IF(ISBLANK(INDEX('Milestone Tracker – IHP'!$F:$F,156)),"",INDEX('Milestone Tracker – IHP'!$F:$F,156))</f>
        <v/>
      </c>
      <c r="G154" t="e">
        <f>IF(ISBLANK(INDEX('Milestone Tracker – IHP'!#REF!,156)),"",INDEX('Milestone Tracker – IHP'!#REF!,156))</f>
        <v>#REF!</v>
      </c>
      <c r="H154" t="str">
        <f>IF(ISBLANK(INDEX('Milestone Tracker – IHP'!$G:$G,156)),"",INDEX('Milestone Tracker – IHP'!$G:$G,156))</f>
        <v/>
      </c>
      <c r="I154" t="str">
        <f>IF(ISBLANK(INDEX('Milestone Tracker – IHP'!$H:$H,156)),"",INDEX('Milestone Tracker – IHP'!$H:$H,156))</f>
        <v/>
      </c>
      <c r="J154" t="e">
        <f>IF(ISBLANK(INDEX('Milestone Tracker – IHP'!#REF!,156)),"",INDEX('Milestone Tracker – IHP'!#REF!,156))</f>
        <v>#REF!</v>
      </c>
      <c r="K154">
        <f t="shared" si="4"/>
        <v>0</v>
      </c>
      <c r="L154">
        <f t="shared" si="5"/>
        <v>0</v>
      </c>
    </row>
    <row r="155" spans="1:12" x14ac:dyDescent="0.35">
      <c r="A155">
        <v>157</v>
      </c>
      <c r="B155">
        <f>IF(ISBLANK(INDEX('Milestone Tracker – IHP'!$B:$B,157)),B154,INDEX('Milestone Tracker – IHP'!$B:$B,157))</f>
        <v>0</v>
      </c>
      <c r="C155">
        <f>IF(ISBLANK(INDEX('Milestone Tracker – IHP'!$C:$C,157)),C154,INDEX('Milestone Tracker – IHP'!$C:$C,157))</f>
        <v>0</v>
      </c>
      <c r="D155">
        <f>IF(ISBLANK(INDEX('Milestone Tracker – IHP'!$D:$D,157)),D154,INDEX('Milestone Tracker – IHP'!$D:$D,157))</f>
        <v>0</v>
      </c>
      <c r="E155" t="str">
        <f>IF(ISBLANK(INDEX('Milestone Tracker – IHP'!$E:$E,157)),"",INDEX('Milestone Tracker – IHP'!$E:$E,157))</f>
        <v/>
      </c>
      <c r="F155" t="str">
        <f>IF(ISBLANK(INDEX('Milestone Tracker – IHP'!$F:$F,157)),"",INDEX('Milestone Tracker – IHP'!$F:$F,157))</f>
        <v/>
      </c>
      <c r="G155" t="e">
        <f>IF(ISBLANK(INDEX('Milestone Tracker – IHP'!#REF!,157)),"",INDEX('Milestone Tracker – IHP'!#REF!,157))</f>
        <v>#REF!</v>
      </c>
      <c r="H155" t="str">
        <f>IF(ISBLANK(INDEX('Milestone Tracker – IHP'!$G:$G,157)),"",INDEX('Milestone Tracker – IHP'!$G:$G,157))</f>
        <v/>
      </c>
      <c r="I155" t="str">
        <f>IF(ISBLANK(INDEX('Milestone Tracker – IHP'!$H:$H,157)),"",INDEX('Milestone Tracker – IHP'!$H:$H,157))</f>
        <v/>
      </c>
      <c r="J155" t="e">
        <f>IF(ISBLANK(INDEX('Milestone Tracker – IHP'!#REF!,157)),"",INDEX('Milestone Tracker – IHP'!#REF!,157))</f>
        <v>#REF!</v>
      </c>
      <c r="K155">
        <f t="shared" si="4"/>
        <v>0</v>
      </c>
      <c r="L155">
        <f t="shared" si="5"/>
        <v>0</v>
      </c>
    </row>
    <row r="156" spans="1:12" x14ac:dyDescent="0.35">
      <c r="A156">
        <v>158</v>
      </c>
      <c r="B156">
        <f>IF(ISBLANK(INDEX('Milestone Tracker – IHP'!$B:$B,158)),B155,INDEX('Milestone Tracker – IHP'!$B:$B,158))</f>
        <v>0</v>
      </c>
      <c r="C156">
        <f>IF(ISBLANK(INDEX('Milestone Tracker – IHP'!$C:$C,158)),C155,INDEX('Milestone Tracker – IHP'!$C:$C,158))</f>
        <v>0</v>
      </c>
      <c r="D156">
        <f>IF(ISBLANK(INDEX('Milestone Tracker – IHP'!$D:$D,158)),D155,INDEX('Milestone Tracker – IHP'!$D:$D,158))</f>
        <v>0</v>
      </c>
      <c r="E156" t="str">
        <f>IF(ISBLANK(INDEX('Milestone Tracker – IHP'!$E:$E,158)),"",INDEX('Milestone Tracker – IHP'!$E:$E,158))</f>
        <v/>
      </c>
      <c r="F156" t="str">
        <f>IF(ISBLANK(INDEX('Milestone Tracker – IHP'!$F:$F,158)),"",INDEX('Milestone Tracker – IHP'!$F:$F,158))</f>
        <v/>
      </c>
      <c r="G156" t="e">
        <f>IF(ISBLANK(INDEX('Milestone Tracker – IHP'!#REF!,158)),"",INDEX('Milestone Tracker – IHP'!#REF!,158))</f>
        <v>#REF!</v>
      </c>
      <c r="H156" t="str">
        <f>IF(ISBLANK(INDEX('Milestone Tracker – IHP'!$G:$G,158)),"",INDEX('Milestone Tracker – IHP'!$G:$G,158))</f>
        <v/>
      </c>
      <c r="I156" t="str">
        <f>IF(ISBLANK(INDEX('Milestone Tracker – IHP'!$H:$H,158)),"",INDEX('Milestone Tracker – IHP'!$H:$H,158))</f>
        <v/>
      </c>
      <c r="J156" t="e">
        <f>IF(ISBLANK(INDEX('Milestone Tracker – IHP'!#REF!,158)),"",INDEX('Milestone Tracker – IHP'!#REF!,158))</f>
        <v>#REF!</v>
      </c>
      <c r="K156">
        <f t="shared" si="4"/>
        <v>0</v>
      </c>
      <c r="L156">
        <f t="shared" si="5"/>
        <v>0</v>
      </c>
    </row>
    <row r="157" spans="1:12" x14ac:dyDescent="0.35">
      <c r="A157">
        <v>159</v>
      </c>
      <c r="B157">
        <f>IF(ISBLANK(INDEX('Milestone Tracker – IHP'!$B:$B,159)),B156,INDEX('Milestone Tracker – IHP'!$B:$B,159))</f>
        <v>0</v>
      </c>
      <c r="C157">
        <f>IF(ISBLANK(INDEX('Milestone Tracker – IHP'!$C:$C,159)),C156,INDEX('Milestone Tracker – IHP'!$C:$C,159))</f>
        <v>0</v>
      </c>
      <c r="D157">
        <f>IF(ISBLANK(INDEX('Milestone Tracker – IHP'!$D:$D,159)),D156,INDEX('Milestone Tracker – IHP'!$D:$D,159))</f>
        <v>0</v>
      </c>
      <c r="E157" t="str">
        <f>IF(ISBLANK(INDEX('Milestone Tracker – IHP'!$E:$E,159)),"",INDEX('Milestone Tracker – IHP'!$E:$E,159))</f>
        <v/>
      </c>
      <c r="F157" t="str">
        <f>IF(ISBLANK(INDEX('Milestone Tracker – IHP'!$F:$F,159)),"",INDEX('Milestone Tracker – IHP'!$F:$F,159))</f>
        <v/>
      </c>
      <c r="G157" t="e">
        <f>IF(ISBLANK(INDEX('Milestone Tracker – IHP'!#REF!,159)),"",INDEX('Milestone Tracker – IHP'!#REF!,159))</f>
        <v>#REF!</v>
      </c>
      <c r="H157" t="str">
        <f>IF(ISBLANK(INDEX('Milestone Tracker – IHP'!$G:$G,159)),"",INDEX('Milestone Tracker – IHP'!$G:$G,159))</f>
        <v/>
      </c>
      <c r="I157" t="str">
        <f>IF(ISBLANK(INDEX('Milestone Tracker – IHP'!$H:$H,159)),"",INDEX('Milestone Tracker – IHP'!$H:$H,159))</f>
        <v/>
      </c>
      <c r="J157" t="e">
        <f>IF(ISBLANK(INDEX('Milestone Tracker – IHP'!#REF!,159)),"",INDEX('Milestone Tracker – IHP'!#REF!,159))</f>
        <v>#REF!</v>
      </c>
      <c r="K157">
        <f t="shared" si="4"/>
        <v>0</v>
      </c>
      <c r="L157">
        <f t="shared" si="5"/>
        <v>0</v>
      </c>
    </row>
    <row r="158" spans="1:12" x14ac:dyDescent="0.35">
      <c r="A158">
        <v>160</v>
      </c>
      <c r="B158">
        <f>IF(ISBLANK(INDEX('Milestone Tracker – IHP'!$B:$B,160)),B157,INDEX('Milestone Tracker – IHP'!$B:$B,160))</f>
        <v>0</v>
      </c>
      <c r="C158">
        <f>IF(ISBLANK(INDEX('Milestone Tracker – IHP'!$C:$C,160)),C157,INDEX('Milestone Tracker – IHP'!$C:$C,160))</f>
        <v>0</v>
      </c>
      <c r="D158">
        <f>IF(ISBLANK(INDEX('Milestone Tracker – IHP'!$D:$D,160)),D157,INDEX('Milestone Tracker – IHP'!$D:$D,160))</f>
        <v>0</v>
      </c>
      <c r="E158" t="str">
        <f>IF(ISBLANK(INDEX('Milestone Tracker – IHP'!$E:$E,160)),"",INDEX('Milestone Tracker – IHP'!$E:$E,160))</f>
        <v/>
      </c>
      <c r="F158" t="str">
        <f>IF(ISBLANK(INDEX('Milestone Tracker – IHP'!$F:$F,160)),"",INDEX('Milestone Tracker – IHP'!$F:$F,160))</f>
        <v/>
      </c>
      <c r="G158" t="e">
        <f>IF(ISBLANK(INDEX('Milestone Tracker – IHP'!#REF!,160)),"",INDEX('Milestone Tracker – IHP'!#REF!,160))</f>
        <v>#REF!</v>
      </c>
      <c r="H158" t="str">
        <f>IF(ISBLANK(INDEX('Milestone Tracker – IHP'!$G:$G,160)),"",INDEX('Milestone Tracker – IHP'!$G:$G,160))</f>
        <v/>
      </c>
      <c r="I158" t="str">
        <f>IF(ISBLANK(INDEX('Milestone Tracker – IHP'!$H:$H,160)),"",INDEX('Milestone Tracker – IHP'!$H:$H,160))</f>
        <v/>
      </c>
      <c r="J158" t="e">
        <f>IF(ISBLANK(INDEX('Milestone Tracker – IHP'!#REF!,160)),"",INDEX('Milestone Tracker – IHP'!#REF!,160))</f>
        <v>#REF!</v>
      </c>
      <c r="K158">
        <f t="shared" si="4"/>
        <v>0</v>
      </c>
      <c r="L158">
        <f t="shared" si="5"/>
        <v>0</v>
      </c>
    </row>
    <row r="159" spans="1:12" x14ac:dyDescent="0.35">
      <c r="A159">
        <v>161</v>
      </c>
      <c r="B159">
        <f>IF(ISBLANK(INDEX('Milestone Tracker – IHP'!$B:$B,161)),B158,INDEX('Milestone Tracker – IHP'!$B:$B,161))</f>
        <v>0</v>
      </c>
      <c r="C159">
        <f>IF(ISBLANK(INDEX('Milestone Tracker – IHP'!$C:$C,161)),C158,INDEX('Milestone Tracker – IHP'!$C:$C,161))</f>
        <v>0</v>
      </c>
      <c r="D159">
        <f>IF(ISBLANK(INDEX('Milestone Tracker – IHP'!$D:$D,161)),D158,INDEX('Milestone Tracker – IHP'!$D:$D,161))</f>
        <v>0</v>
      </c>
      <c r="E159" t="str">
        <f>IF(ISBLANK(INDEX('Milestone Tracker – IHP'!$E:$E,161)),"",INDEX('Milestone Tracker – IHP'!$E:$E,161))</f>
        <v/>
      </c>
      <c r="F159" t="str">
        <f>IF(ISBLANK(INDEX('Milestone Tracker – IHP'!$F:$F,161)),"",INDEX('Milestone Tracker – IHP'!$F:$F,161))</f>
        <v/>
      </c>
      <c r="G159" t="e">
        <f>IF(ISBLANK(INDEX('Milestone Tracker – IHP'!#REF!,161)),"",INDEX('Milestone Tracker – IHP'!#REF!,161))</f>
        <v>#REF!</v>
      </c>
      <c r="H159" t="str">
        <f>IF(ISBLANK(INDEX('Milestone Tracker – IHP'!$G:$G,161)),"",INDEX('Milestone Tracker – IHP'!$G:$G,161))</f>
        <v/>
      </c>
      <c r="I159" t="str">
        <f>IF(ISBLANK(INDEX('Milestone Tracker – IHP'!$H:$H,161)),"",INDEX('Milestone Tracker – IHP'!$H:$H,161))</f>
        <v/>
      </c>
      <c r="J159" t="e">
        <f>IF(ISBLANK(INDEX('Milestone Tracker – IHP'!#REF!,161)),"",INDEX('Milestone Tracker – IHP'!#REF!,161))</f>
        <v>#REF!</v>
      </c>
      <c r="K159">
        <f t="shared" si="4"/>
        <v>0</v>
      </c>
      <c r="L159">
        <f t="shared" si="5"/>
        <v>0</v>
      </c>
    </row>
    <row r="160" spans="1:12" x14ac:dyDescent="0.35">
      <c r="A160">
        <v>162</v>
      </c>
      <c r="B160">
        <f>IF(ISBLANK(INDEX('Milestone Tracker – IHP'!$B:$B,162)),B159,INDEX('Milestone Tracker – IHP'!$B:$B,162))</f>
        <v>0</v>
      </c>
      <c r="C160">
        <f>IF(ISBLANK(INDEX('Milestone Tracker – IHP'!$C:$C,162)),C159,INDEX('Milestone Tracker – IHP'!$C:$C,162))</f>
        <v>0</v>
      </c>
      <c r="D160">
        <f>IF(ISBLANK(INDEX('Milestone Tracker – IHP'!$D:$D,162)),D159,INDEX('Milestone Tracker – IHP'!$D:$D,162))</f>
        <v>0</v>
      </c>
      <c r="E160" t="str">
        <f>IF(ISBLANK(INDEX('Milestone Tracker – IHP'!$E:$E,162)),"",INDEX('Milestone Tracker – IHP'!$E:$E,162))</f>
        <v/>
      </c>
      <c r="F160" t="str">
        <f>IF(ISBLANK(INDEX('Milestone Tracker – IHP'!$F:$F,162)),"",INDEX('Milestone Tracker – IHP'!$F:$F,162))</f>
        <v/>
      </c>
      <c r="G160" t="e">
        <f>IF(ISBLANK(INDEX('Milestone Tracker – IHP'!#REF!,162)),"",INDEX('Milestone Tracker – IHP'!#REF!,162))</f>
        <v>#REF!</v>
      </c>
      <c r="H160" t="str">
        <f>IF(ISBLANK(INDEX('Milestone Tracker – IHP'!$G:$G,162)),"",INDEX('Milestone Tracker – IHP'!$G:$G,162))</f>
        <v/>
      </c>
      <c r="I160" t="str">
        <f>IF(ISBLANK(INDEX('Milestone Tracker – IHP'!$H:$H,162)),"",INDEX('Milestone Tracker – IHP'!$H:$H,162))</f>
        <v/>
      </c>
      <c r="J160" t="e">
        <f>IF(ISBLANK(INDEX('Milestone Tracker – IHP'!#REF!,162)),"",INDEX('Milestone Tracker – IHP'!#REF!,162))</f>
        <v>#REF!</v>
      </c>
      <c r="K160">
        <f t="shared" si="4"/>
        <v>0</v>
      </c>
      <c r="L160">
        <f t="shared" si="5"/>
        <v>0</v>
      </c>
    </row>
    <row r="161" spans="1:12" x14ac:dyDescent="0.35">
      <c r="A161">
        <v>163</v>
      </c>
      <c r="B161">
        <f>IF(ISBLANK(INDEX('Milestone Tracker – IHP'!$B:$B,163)),B160,INDEX('Milestone Tracker – IHP'!$B:$B,163))</f>
        <v>0</v>
      </c>
      <c r="C161">
        <f>IF(ISBLANK(INDEX('Milestone Tracker – IHP'!$C:$C,163)),C160,INDEX('Milestone Tracker – IHP'!$C:$C,163))</f>
        <v>0</v>
      </c>
      <c r="D161">
        <f>IF(ISBLANK(INDEX('Milestone Tracker – IHP'!$D:$D,163)),D160,INDEX('Milestone Tracker – IHP'!$D:$D,163))</f>
        <v>0</v>
      </c>
      <c r="E161" t="str">
        <f>IF(ISBLANK(INDEX('Milestone Tracker – IHP'!$E:$E,163)),"",INDEX('Milestone Tracker – IHP'!$E:$E,163))</f>
        <v/>
      </c>
      <c r="F161" t="str">
        <f>IF(ISBLANK(INDEX('Milestone Tracker – IHP'!$F:$F,163)),"",INDEX('Milestone Tracker – IHP'!$F:$F,163))</f>
        <v/>
      </c>
      <c r="G161" t="e">
        <f>IF(ISBLANK(INDEX('Milestone Tracker – IHP'!#REF!,163)),"",INDEX('Milestone Tracker – IHP'!#REF!,163))</f>
        <v>#REF!</v>
      </c>
      <c r="H161" t="str">
        <f>IF(ISBLANK(INDEX('Milestone Tracker – IHP'!$G:$G,163)),"",INDEX('Milestone Tracker – IHP'!$G:$G,163))</f>
        <v/>
      </c>
      <c r="I161" t="str">
        <f>IF(ISBLANK(INDEX('Milestone Tracker – IHP'!$H:$H,163)),"",INDEX('Milestone Tracker – IHP'!$H:$H,163))</f>
        <v/>
      </c>
      <c r="J161" t="e">
        <f>IF(ISBLANK(INDEX('Milestone Tracker – IHP'!#REF!,163)),"",INDEX('Milestone Tracker – IHP'!#REF!,163))</f>
        <v>#REF!</v>
      </c>
      <c r="K161">
        <f t="shared" si="4"/>
        <v>0</v>
      </c>
      <c r="L161">
        <f t="shared" si="5"/>
        <v>0</v>
      </c>
    </row>
    <row r="162" spans="1:12" x14ac:dyDescent="0.35">
      <c r="A162">
        <v>164</v>
      </c>
      <c r="B162">
        <f>IF(ISBLANK(INDEX('Milestone Tracker – IHP'!$B:$B,164)),B161,INDEX('Milestone Tracker – IHP'!$B:$B,164))</f>
        <v>0</v>
      </c>
      <c r="C162">
        <f>IF(ISBLANK(INDEX('Milestone Tracker – IHP'!$C:$C,164)),C161,INDEX('Milestone Tracker – IHP'!$C:$C,164))</f>
        <v>0</v>
      </c>
      <c r="D162">
        <f>IF(ISBLANK(INDEX('Milestone Tracker – IHP'!$D:$D,164)),D161,INDEX('Milestone Tracker – IHP'!$D:$D,164))</f>
        <v>0</v>
      </c>
      <c r="E162" t="str">
        <f>IF(ISBLANK(INDEX('Milestone Tracker – IHP'!$E:$E,164)),"",INDEX('Milestone Tracker – IHP'!$E:$E,164))</f>
        <v/>
      </c>
      <c r="F162" t="str">
        <f>IF(ISBLANK(INDEX('Milestone Tracker – IHP'!$F:$F,164)),"",INDEX('Milestone Tracker – IHP'!$F:$F,164))</f>
        <v/>
      </c>
      <c r="G162" t="e">
        <f>IF(ISBLANK(INDEX('Milestone Tracker – IHP'!#REF!,164)),"",INDEX('Milestone Tracker – IHP'!#REF!,164))</f>
        <v>#REF!</v>
      </c>
      <c r="H162" t="str">
        <f>IF(ISBLANK(INDEX('Milestone Tracker – IHP'!$G:$G,164)),"",INDEX('Milestone Tracker – IHP'!$G:$G,164))</f>
        <v/>
      </c>
      <c r="I162" t="str">
        <f>IF(ISBLANK(INDEX('Milestone Tracker – IHP'!$H:$H,164)),"",INDEX('Milestone Tracker – IHP'!$H:$H,164))</f>
        <v/>
      </c>
      <c r="J162" t="e">
        <f>IF(ISBLANK(INDEX('Milestone Tracker – IHP'!#REF!,164)),"",INDEX('Milestone Tracker – IHP'!#REF!,164))</f>
        <v>#REF!</v>
      </c>
      <c r="K162">
        <f t="shared" si="4"/>
        <v>0</v>
      </c>
      <c r="L162">
        <f t="shared" si="5"/>
        <v>0</v>
      </c>
    </row>
    <row r="163" spans="1:12" x14ac:dyDescent="0.35">
      <c r="A163">
        <v>165</v>
      </c>
      <c r="B163">
        <f>IF(ISBLANK(INDEX('Milestone Tracker – IHP'!$B:$B,165)),B162,INDEX('Milestone Tracker – IHP'!$B:$B,165))</f>
        <v>0</v>
      </c>
      <c r="C163">
        <f>IF(ISBLANK(INDEX('Milestone Tracker – IHP'!$C:$C,165)),C162,INDEX('Milestone Tracker – IHP'!$C:$C,165))</f>
        <v>0</v>
      </c>
      <c r="D163">
        <f>IF(ISBLANK(INDEX('Milestone Tracker – IHP'!$D:$D,165)),D162,INDEX('Milestone Tracker – IHP'!$D:$D,165))</f>
        <v>0</v>
      </c>
      <c r="E163" t="str">
        <f>IF(ISBLANK(INDEX('Milestone Tracker – IHP'!$E:$E,165)),"",INDEX('Milestone Tracker – IHP'!$E:$E,165))</f>
        <v/>
      </c>
      <c r="F163" t="str">
        <f>IF(ISBLANK(INDEX('Milestone Tracker – IHP'!$F:$F,165)),"",INDEX('Milestone Tracker – IHP'!$F:$F,165))</f>
        <v/>
      </c>
      <c r="G163" t="e">
        <f>IF(ISBLANK(INDEX('Milestone Tracker – IHP'!#REF!,165)),"",INDEX('Milestone Tracker – IHP'!#REF!,165))</f>
        <v>#REF!</v>
      </c>
      <c r="H163" t="str">
        <f>IF(ISBLANK(INDEX('Milestone Tracker – IHP'!$G:$G,165)),"",INDEX('Milestone Tracker – IHP'!$G:$G,165))</f>
        <v/>
      </c>
      <c r="I163" t="str">
        <f>IF(ISBLANK(INDEX('Milestone Tracker – IHP'!$H:$H,165)),"",INDEX('Milestone Tracker – IHP'!$H:$H,165))</f>
        <v/>
      </c>
      <c r="J163" t="e">
        <f>IF(ISBLANK(INDEX('Milestone Tracker – IHP'!#REF!,165)),"",INDEX('Milestone Tracker – IHP'!#REF!,165))</f>
        <v>#REF!</v>
      </c>
      <c r="K163">
        <f t="shared" si="4"/>
        <v>0</v>
      </c>
      <c r="L163">
        <f t="shared" si="5"/>
        <v>0</v>
      </c>
    </row>
    <row r="164" spans="1:12" x14ac:dyDescent="0.35">
      <c r="A164">
        <v>166</v>
      </c>
      <c r="B164">
        <f>IF(ISBLANK(INDEX('Milestone Tracker – IHP'!$B:$B,166)),B163,INDEX('Milestone Tracker – IHP'!$B:$B,166))</f>
        <v>0</v>
      </c>
      <c r="C164">
        <f>IF(ISBLANK(INDEX('Milestone Tracker – IHP'!$C:$C,166)),C163,INDEX('Milestone Tracker – IHP'!$C:$C,166))</f>
        <v>0</v>
      </c>
      <c r="D164">
        <f>IF(ISBLANK(INDEX('Milestone Tracker – IHP'!$D:$D,166)),D163,INDEX('Milestone Tracker – IHP'!$D:$D,166))</f>
        <v>0</v>
      </c>
      <c r="E164" t="str">
        <f>IF(ISBLANK(INDEX('Milestone Tracker – IHP'!$E:$E,166)),"",INDEX('Milestone Tracker – IHP'!$E:$E,166))</f>
        <v/>
      </c>
      <c r="F164" t="str">
        <f>IF(ISBLANK(INDEX('Milestone Tracker – IHP'!$F:$F,166)),"",INDEX('Milestone Tracker – IHP'!$F:$F,166))</f>
        <v/>
      </c>
      <c r="G164" t="e">
        <f>IF(ISBLANK(INDEX('Milestone Tracker – IHP'!#REF!,166)),"",INDEX('Milestone Tracker – IHP'!#REF!,166))</f>
        <v>#REF!</v>
      </c>
      <c r="H164" t="str">
        <f>IF(ISBLANK(INDEX('Milestone Tracker – IHP'!$G:$G,166)),"",INDEX('Milestone Tracker – IHP'!$G:$G,166))</f>
        <v/>
      </c>
      <c r="I164" t="str">
        <f>IF(ISBLANK(INDEX('Milestone Tracker – IHP'!$H:$H,166)),"",INDEX('Milestone Tracker – IHP'!$H:$H,166))</f>
        <v/>
      </c>
      <c r="J164" t="e">
        <f>IF(ISBLANK(INDEX('Milestone Tracker – IHP'!#REF!,166)),"",INDEX('Milestone Tracker – IHP'!#REF!,166))</f>
        <v>#REF!</v>
      </c>
      <c r="K164">
        <f t="shared" si="4"/>
        <v>0</v>
      </c>
      <c r="L164">
        <f t="shared" si="5"/>
        <v>0</v>
      </c>
    </row>
    <row r="165" spans="1:12" x14ac:dyDescent="0.35">
      <c r="A165">
        <v>167</v>
      </c>
      <c r="B165">
        <f>IF(ISBLANK(INDEX('Milestone Tracker – IHP'!$B:$B,167)),B164,INDEX('Milestone Tracker – IHP'!$B:$B,167))</f>
        <v>0</v>
      </c>
      <c r="C165">
        <f>IF(ISBLANK(INDEX('Milestone Tracker – IHP'!$C:$C,167)),C164,INDEX('Milestone Tracker – IHP'!$C:$C,167))</f>
        <v>0</v>
      </c>
      <c r="D165">
        <f>IF(ISBLANK(INDEX('Milestone Tracker – IHP'!$D:$D,167)),D164,INDEX('Milestone Tracker – IHP'!$D:$D,167))</f>
        <v>0</v>
      </c>
      <c r="E165" t="str">
        <f>IF(ISBLANK(INDEX('Milestone Tracker – IHP'!$E:$E,167)),"",INDEX('Milestone Tracker – IHP'!$E:$E,167))</f>
        <v/>
      </c>
      <c r="F165" t="str">
        <f>IF(ISBLANK(INDEX('Milestone Tracker – IHP'!$F:$F,167)),"",INDEX('Milestone Tracker – IHP'!$F:$F,167))</f>
        <v/>
      </c>
      <c r="G165" t="e">
        <f>IF(ISBLANK(INDEX('Milestone Tracker – IHP'!#REF!,167)),"",INDEX('Milestone Tracker – IHP'!#REF!,167))</f>
        <v>#REF!</v>
      </c>
      <c r="H165" t="str">
        <f>IF(ISBLANK(INDEX('Milestone Tracker – IHP'!$G:$G,167)),"",INDEX('Milestone Tracker – IHP'!$G:$G,167))</f>
        <v/>
      </c>
      <c r="I165" t="str">
        <f>IF(ISBLANK(INDEX('Milestone Tracker – IHP'!$H:$H,167)),"",INDEX('Milestone Tracker – IHP'!$H:$H,167))</f>
        <v/>
      </c>
      <c r="J165" t="e">
        <f>IF(ISBLANK(INDEX('Milestone Tracker – IHP'!#REF!,167)),"",INDEX('Milestone Tracker – IHP'!#REF!,167))</f>
        <v>#REF!</v>
      </c>
      <c r="K165">
        <f t="shared" si="4"/>
        <v>0</v>
      </c>
      <c r="L165">
        <f t="shared" si="5"/>
        <v>0</v>
      </c>
    </row>
    <row r="166" spans="1:12" x14ac:dyDescent="0.35">
      <c r="A166">
        <v>168</v>
      </c>
      <c r="B166">
        <f>IF(ISBLANK(INDEX('Milestone Tracker – IHP'!$B:$B,168)),B165,INDEX('Milestone Tracker – IHP'!$B:$B,168))</f>
        <v>0</v>
      </c>
      <c r="C166">
        <f>IF(ISBLANK(INDEX('Milestone Tracker – IHP'!$C:$C,168)),C165,INDEX('Milestone Tracker – IHP'!$C:$C,168))</f>
        <v>0</v>
      </c>
      <c r="D166">
        <f>IF(ISBLANK(INDEX('Milestone Tracker – IHP'!$D:$D,168)),D165,INDEX('Milestone Tracker – IHP'!$D:$D,168))</f>
        <v>0</v>
      </c>
      <c r="E166" t="str">
        <f>IF(ISBLANK(INDEX('Milestone Tracker – IHP'!$E:$E,168)),"",INDEX('Milestone Tracker – IHP'!$E:$E,168))</f>
        <v/>
      </c>
      <c r="F166" t="str">
        <f>IF(ISBLANK(INDEX('Milestone Tracker – IHP'!$F:$F,168)),"",INDEX('Milestone Tracker – IHP'!$F:$F,168))</f>
        <v/>
      </c>
      <c r="G166" t="e">
        <f>IF(ISBLANK(INDEX('Milestone Tracker – IHP'!#REF!,168)),"",INDEX('Milestone Tracker – IHP'!#REF!,168))</f>
        <v>#REF!</v>
      </c>
      <c r="H166" t="str">
        <f>IF(ISBLANK(INDEX('Milestone Tracker – IHP'!$G:$G,168)),"",INDEX('Milestone Tracker – IHP'!$G:$G,168))</f>
        <v/>
      </c>
      <c r="I166" t="str">
        <f>IF(ISBLANK(INDEX('Milestone Tracker – IHP'!$H:$H,168)),"",INDEX('Milestone Tracker – IHP'!$H:$H,168))</f>
        <v/>
      </c>
      <c r="J166" t="e">
        <f>IF(ISBLANK(INDEX('Milestone Tracker – IHP'!#REF!,168)),"",INDEX('Milestone Tracker – IHP'!#REF!,168))</f>
        <v>#REF!</v>
      </c>
      <c r="K166">
        <f t="shared" si="4"/>
        <v>0</v>
      </c>
      <c r="L166">
        <f t="shared" si="5"/>
        <v>0</v>
      </c>
    </row>
    <row r="167" spans="1:12" x14ac:dyDescent="0.35">
      <c r="A167">
        <v>169</v>
      </c>
      <c r="B167">
        <f>IF(ISBLANK(INDEX('Milestone Tracker – IHP'!$B:$B,169)),B166,INDEX('Milestone Tracker – IHP'!$B:$B,169))</f>
        <v>0</v>
      </c>
      <c r="C167">
        <f>IF(ISBLANK(INDEX('Milestone Tracker – IHP'!$C:$C,169)),C166,INDEX('Milestone Tracker – IHP'!$C:$C,169))</f>
        <v>0</v>
      </c>
      <c r="D167">
        <f>IF(ISBLANK(INDEX('Milestone Tracker – IHP'!$D:$D,169)),D166,INDEX('Milestone Tracker – IHP'!$D:$D,169))</f>
        <v>0</v>
      </c>
      <c r="E167" t="str">
        <f>IF(ISBLANK(INDEX('Milestone Tracker – IHP'!$E:$E,169)),"",INDEX('Milestone Tracker – IHP'!$E:$E,169))</f>
        <v/>
      </c>
      <c r="F167" t="str">
        <f>IF(ISBLANK(INDEX('Milestone Tracker – IHP'!$F:$F,169)),"",INDEX('Milestone Tracker – IHP'!$F:$F,169))</f>
        <v/>
      </c>
      <c r="G167" t="e">
        <f>IF(ISBLANK(INDEX('Milestone Tracker – IHP'!#REF!,169)),"",INDEX('Milestone Tracker – IHP'!#REF!,169))</f>
        <v>#REF!</v>
      </c>
      <c r="H167" t="str">
        <f>IF(ISBLANK(INDEX('Milestone Tracker – IHP'!$G:$G,169)),"",INDEX('Milestone Tracker – IHP'!$G:$G,169))</f>
        <v/>
      </c>
      <c r="I167" t="str">
        <f>IF(ISBLANK(INDEX('Milestone Tracker – IHP'!$H:$H,169)),"",INDEX('Milestone Tracker – IHP'!$H:$H,169))</f>
        <v/>
      </c>
      <c r="J167" t="e">
        <f>IF(ISBLANK(INDEX('Milestone Tracker – IHP'!#REF!,169)),"",INDEX('Milestone Tracker – IHP'!#REF!,169))</f>
        <v>#REF!</v>
      </c>
      <c r="K167">
        <f t="shared" si="4"/>
        <v>0</v>
      </c>
      <c r="L167">
        <f t="shared" si="5"/>
        <v>0</v>
      </c>
    </row>
    <row r="168" spans="1:12" x14ac:dyDescent="0.35">
      <c r="A168">
        <v>170</v>
      </c>
      <c r="B168">
        <f>IF(ISBLANK(INDEX('Milestone Tracker – IHP'!$B:$B,170)),B167,INDEX('Milestone Tracker – IHP'!$B:$B,170))</f>
        <v>0</v>
      </c>
      <c r="C168">
        <f>IF(ISBLANK(INDEX('Milestone Tracker – IHP'!$C:$C,170)),C167,INDEX('Milestone Tracker – IHP'!$C:$C,170))</f>
        <v>0</v>
      </c>
      <c r="D168">
        <f>IF(ISBLANK(INDEX('Milestone Tracker – IHP'!$D:$D,170)),D167,INDEX('Milestone Tracker – IHP'!$D:$D,170))</f>
        <v>0</v>
      </c>
      <c r="E168" t="str">
        <f>IF(ISBLANK(INDEX('Milestone Tracker – IHP'!$E:$E,170)),"",INDEX('Milestone Tracker – IHP'!$E:$E,170))</f>
        <v/>
      </c>
      <c r="F168" t="str">
        <f>IF(ISBLANK(INDEX('Milestone Tracker – IHP'!$F:$F,170)),"",INDEX('Milestone Tracker – IHP'!$F:$F,170))</f>
        <v/>
      </c>
      <c r="G168" t="e">
        <f>IF(ISBLANK(INDEX('Milestone Tracker – IHP'!#REF!,170)),"",INDEX('Milestone Tracker – IHP'!#REF!,170))</f>
        <v>#REF!</v>
      </c>
      <c r="H168" t="str">
        <f>IF(ISBLANK(INDEX('Milestone Tracker – IHP'!$G:$G,170)),"",INDEX('Milestone Tracker – IHP'!$G:$G,170))</f>
        <v/>
      </c>
      <c r="I168" t="str">
        <f>IF(ISBLANK(INDEX('Milestone Tracker – IHP'!$H:$H,170)),"",INDEX('Milestone Tracker – IHP'!$H:$H,170))</f>
        <v/>
      </c>
      <c r="J168" t="e">
        <f>IF(ISBLANK(INDEX('Milestone Tracker – IHP'!#REF!,170)),"",INDEX('Milestone Tracker – IHP'!#REF!,170))</f>
        <v>#REF!</v>
      </c>
      <c r="K168">
        <f t="shared" si="4"/>
        <v>0</v>
      </c>
      <c r="L168">
        <f t="shared" si="5"/>
        <v>0</v>
      </c>
    </row>
    <row r="169" spans="1:12" x14ac:dyDescent="0.35">
      <c r="A169">
        <v>171</v>
      </c>
      <c r="B169">
        <f>IF(ISBLANK(INDEX('Milestone Tracker – IHP'!$B:$B,171)),B168,INDEX('Milestone Tracker – IHP'!$B:$B,171))</f>
        <v>0</v>
      </c>
      <c r="C169">
        <f>IF(ISBLANK(INDEX('Milestone Tracker – IHP'!$C:$C,171)),C168,INDEX('Milestone Tracker – IHP'!$C:$C,171))</f>
        <v>0</v>
      </c>
      <c r="D169">
        <f>IF(ISBLANK(INDEX('Milestone Tracker – IHP'!$D:$D,171)),D168,INDEX('Milestone Tracker – IHP'!$D:$D,171))</f>
        <v>0</v>
      </c>
      <c r="E169" t="str">
        <f>IF(ISBLANK(INDEX('Milestone Tracker – IHP'!$E:$E,171)),"",INDEX('Milestone Tracker – IHP'!$E:$E,171))</f>
        <v/>
      </c>
      <c r="F169" t="str">
        <f>IF(ISBLANK(INDEX('Milestone Tracker – IHP'!$F:$F,171)),"",INDEX('Milestone Tracker – IHP'!$F:$F,171))</f>
        <v/>
      </c>
      <c r="G169" t="e">
        <f>IF(ISBLANK(INDEX('Milestone Tracker – IHP'!#REF!,171)),"",INDEX('Milestone Tracker – IHP'!#REF!,171))</f>
        <v>#REF!</v>
      </c>
      <c r="H169" t="str">
        <f>IF(ISBLANK(INDEX('Milestone Tracker – IHP'!$G:$G,171)),"",INDEX('Milestone Tracker – IHP'!$G:$G,171))</f>
        <v/>
      </c>
      <c r="I169" t="str">
        <f>IF(ISBLANK(INDEX('Milestone Tracker – IHP'!$H:$H,171)),"",INDEX('Milestone Tracker – IHP'!$H:$H,171))</f>
        <v/>
      </c>
      <c r="J169" t="e">
        <f>IF(ISBLANK(INDEX('Milestone Tracker – IHP'!#REF!,171)),"",INDEX('Milestone Tracker – IHP'!#REF!,171))</f>
        <v>#REF!</v>
      </c>
      <c r="K169">
        <f t="shared" si="4"/>
        <v>0</v>
      </c>
      <c r="L169">
        <f t="shared" si="5"/>
        <v>0</v>
      </c>
    </row>
    <row r="170" spans="1:12" x14ac:dyDescent="0.35">
      <c r="A170">
        <v>172</v>
      </c>
      <c r="B170">
        <f>IF(ISBLANK(INDEX('Milestone Tracker – IHP'!$B:$B,172)),B169,INDEX('Milestone Tracker – IHP'!$B:$B,172))</f>
        <v>0</v>
      </c>
      <c r="C170">
        <f>IF(ISBLANK(INDEX('Milestone Tracker – IHP'!$C:$C,172)),C169,INDEX('Milestone Tracker – IHP'!$C:$C,172))</f>
        <v>0</v>
      </c>
      <c r="D170">
        <f>IF(ISBLANK(INDEX('Milestone Tracker – IHP'!$D:$D,172)),D169,INDEX('Milestone Tracker – IHP'!$D:$D,172))</f>
        <v>0</v>
      </c>
      <c r="E170" t="str">
        <f>IF(ISBLANK(INDEX('Milestone Tracker – IHP'!$E:$E,172)),"",INDEX('Milestone Tracker – IHP'!$E:$E,172))</f>
        <v/>
      </c>
      <c r="F170" t="str">
        <f>IF(ISBLANK(INDEX('Milestone Tracker – IHP'!$F:$F,172)),"",INDEX('Milestone Tracker – IHP'!$F:$F,172))</f>
        <v/>
      </c>
      <c r="G170" t="e">
        <f>IF(ISBLANK(INDEX('Milestone Tracker – IHP'!#REF!,172)),"",INDEX('Milestone Tracker – IHP'!#REF!,172))</f>
        <v>#REF!</v>
      </c>
      <c r="H170" t="str">
        <f>IF(ISBLANK(INDEX('Milestone Tracker – IHP'!$G:$G,172)),"",INDEX('Milestone Tracker – IHP'!$G:$G,172))</f>
        <v/>
      </c>
      <c r="I170" t="str">
        <f>IF(ISBLANK(INDEX('Milestone Tracker – IHP'!$H:$H,172)),"",INDEX('Milestone Tracker – IHP'!$H:$H,172))</f>
        <v/>
      </c>
      <c r="J170" t="e">
        <f>IF(ISBLANK(INDEX('Milestone Tracker – IHP'!#REF!,172)),"",INDEX('Milestone Tracker – IHP'!#REF!,172))</f>
        <v>#REF!</v>
      </c>
      <c r="K170">
        <f t="shared" si="4"/>
        <v>0</v>
      </c>
      <c r="L170">
        <f t="shared" si="5"/>
        <v>0</v>
      </c>
    </row>
    <row r="171" spans="1:12" x14ac:dyDescent="0.35">
      <c r="A171">
        <v>173</v>
      </c>
      <c r="B171">
        <f>IF(ISBLANK(INDEX('Milestone Tracker – IHP'!$B:$B,173)),B170,INDEX('Milestone Tracker – IHP'!$B:$B,173))</f>
        <v>0</v>
      </c>
      <c r="C171">
        <f>IF(ISBLANK(INDEX('Milestone Tracker – IHP'!$C:$C,173)),C170,INDEX('Milestone Tracker – IHP'!$C:$C,173))</f>
        <v>0</v>
      </c>
      <c r="D171">
        <f>IF(ISBLANK(INDEX('Milestone Tracker – IHP'!$D:$D,173)),D170,INDEX('Milestone Tracker – IHP'!$D:$D,173))</f>
        <v>0</v>
      </c>
      <c r="E171" t="str">
        <f>IF(ISBLANK(INDEX('Milestone Tracker – IHP'!$E:$E,173)),"",INDEX('Milestone Tracker – IHP'!$E:$E,173))</f>
        <v/>
      </c>
      <c r="F171" t="str">
        <f>IF(ISBLANK(INDEX('Milestone Tracker – IHP'!$F:$F,173)),"",INDEX('Milestone Tracker – IHP'!$F:$F,173))</f>
        <v/>
      </c>
      <c r="G171" t="e">
        <f>IF(ISBLANK(INDEX('Milestone Tracker – IHP'!#REF!,173)),"",INDEX('Milestone Tracker – IHP'!#REF!,173))</f>
        <v>#REF!</v>
      </c>
      <c r="H171" t="str">
        <f>IF(ISBLANK(INDEX('Milestone Tracker – IHP'!$G:$G,173)),"",INDEX('Milestone Tracker – IHP'!$G:$G,173))</f>
        <v/>
      </c>
      <c r="I171" t="str">
        <f>IF(ISBLANK(INDEX('Milestone Tracker – IHP'!$H:$H,173)),"",INDEX('Milestone Tracker – IHP'!$H:$H,173))</f>
        <v/>
      </c>
      <c r="J171" t="e">
        <f>IF(ISBLANK(INDEX('Milestone Tracker – IHP'!#REF!,173)),"",INDEX('Milestone Tracker – IHP'!#REF!,173))</f>
        <v>#REF!</v>
      </c>
      <c r="K171">
        <f t="shared" si="4"/>
        <v>0</v>
      </c>
      <c r="L171">
        <f t="shared" si="5"/>
        <v>0</v>
      </c>
    </row>
    <row r="172" spans="1:12" x14ac:dyDescent="0.35">
      <c r="A172">
        <v>174</v>
      </c>
      <c r="B172">
        <f>IF(ISBLANK(INDEX('Milestone Tracker – IHP'!$B:$B,174)),B171,INDEX('Milestone Tracker – IHP'!$B:$B,174))</f>
        <v>0</v>
      </c>
      <c r="C172">
        <f>IF(ISBLANK(INDEX('Milestone Tracker – IHP'!$C:$C,174)),C171,INDEX('Milestone Tracker – IHP'!$C:$C,174))</f>
        <v>0</v>
      </c>
      <c r="D172">
        <f>IF(ISBLANK(INDEX('Milestone Tracker – IHP'!$D:$D,174)),D171,INDEX('Milestone Tracker – IHP'!$D:$D,174))</f>
        <v>0</v>
      </c>
      <c r="E172" t="str">
        <f>IF(ISBLANK(INDEX('Milestone Tracker – IHP'!$E:$E,174)),"",INDEX('Milestone Tracker – IHP'!$E:$E,174))</f>
        <v/>
      </c>
      <c r="F172" t="str">
        <f>IF(ISBLANK(INDEX('Milestone Tracker – IHP'!$F:$F,174)),"",INDEX('Milestone Tracker – IHP'!$F:$F,174))</f>
        <v/>
      </c>
      <c r="G172" t="e">
        <f>IF(ISBLANK(INDEX('Milestone Tracker – IHP'!#REF!,174)),"",INDEX('Milestone Tracker – IHP'!#REF!,174))</f>
        <v>#REF!</v>
      </c>
      <c r="H172" t="str">
        <f>IF(ISBLANK(INDEX('Milestone Tracker – IHP'!$G:$G,174)),"",INDEX('Milestone Tracker – IHP'!$G:$G,174))</f>
        <v/>
      </c>
      <c r="I172" t="str">
        <f>IF(ISBLANK(INDEX('Milestone Tracker – IHP'!$H:$H,174)),"",INDEX('Milestone Tracker – IHP'!$H:$H,174))</f>
        <v/>
      </c>
      <c r="J172" t="e">
        <f>IF(ISBLANK(INDEX('Milestone Tracker – IHP'!#REF!,174)),"",INDEX('Milestone Tracker – IHP'!#REF!,174))</f>
        <v>#REF!</v>
      </c>
      <c r="K172">
        <f t="shared" si="4"/>
        <v>0</v>
      </c>
      <c r="L172">
        <f t="shared" si="5"/>
        <v>0</v>
      </c>
    </row>
    <row r="173" spans="1:12" x14ac:dyDescent="0.35">
      <c r="A173">
        <v>175</v>
      </c>
      <c r="B173">
        <f>IF(ISBLANK(INDEX('Milestone Tracker – IHP'!$B:$B,175)),B172,INDEX('Milestone Tracker – IHP'!$B:$B,175))</f>
        <v>0</v>
      </c>
      <c r="C173">
        <f>IF(ISBLANK(INDEX('Milestone Tracker – IHP'!$C:$C,175)),C172,INDEX('Milestone Tracker – IHP'!$C:$C,175))</f>
        <v>0</v>
      </c>
      <c r="D173">
        <f>IF(ISBLANK(INDEX('Milestone Tracker – IHP'!$D:$D,175)),D172,INDEX('Milestone Tracker – IHP'!$D:$D,175))</f>
        <v>0</v>
      </c>
      <c r="E173" t="str">
        <f>IF(ISBLANK(INDEX('Milestone Tracker – IHP'!$E:$E,175)),"",INDEX('Milestone Tracker – IHP'!$E:$E,175))</f>
        <v/>
      </c>
      <c r="F173" t="str">
        <f>IF(ISBLANK(INDEX('Milestone Tracker – IHP'!$F:$F,175)),"",INDEX('Milestone Tracker – IHP'!$F:$F,175))</f>
        <v/>
      </c>
      <c r="G173" t="e">
        <f>IF(ISBLANK(INDEX('Milestone Tracker – IHP'!#REF!,175)),"",INDEX('Milestone Tracker – IHP'!#REF!,175))</f>
        <v>#REF!</v>
      </c>
      <c r="H173" t="str">
        <f>IF(ISBLANK(INDEX('Milestone Tracker – IHP'!$G:$G,175)),"",INDEX('Milestone Tracker – IHP'!$G:$G,175))</f>
        <v/>
      </c>
      <c r="I173" t="str">
        <f>IF(ISBLANK(INDEX('Milestone Tracker – IHP'!$H:$H,175)),"",INDEX('Milestone Tracker – IHP'!$H:$H,175))</f>
        <v/>
      </c>
      <c r="J173" t="e">
        <f>IF(ISBLANK(INDEX('Milestone Tracker – IHP'!#REF!,175)),"",INDEX('Milestone Tracker – IHP'!#REF!,175))</f>
        <v>#REF!</v>
      </c>
      <c r="K173">
        <f t="shared" si="4"/>
        <v>0</v>
      </c>
      <c r="L173">
        <f t="shared" si="5"/>
        <v>0</v>
      </c>
    </row>
    <row r="174" spans="1:12" x14ac:dyDescent="0.35">
      <c r="A174">
        <v>176</v>
      </c>
      <c r="B174">
        <f>IF(ISBLANK(INDEX('Milestone Tracker – IHP'!$B:$B,176)),B173,INDEX('Milestone Tracker – IHP'!$B:$B,176))</f>
        <v>0</v>
      </c>
      <c r="C174">
        <f>IF(ISBLANK(INDEX('Milestone Tracker – IHP'!$C:$C,176)),C173,INDEX('Milestone Tracker – IHP'!$C:$C,176))</f>
        <v>0</v>
      </c>
      <c r="D174">
        <f>IF(ISBLANK(INDEX('Milestone Tracker – IHP'!$D:$D,176)),D173,INDEX('Milestone Tracker – IHP'!$D:$D,176))</f>
        <v>0</v>
      </c>
      <c r="E174" t="str">
        <f>IF(ISBLANK(INDEX('Milestone Tracker – IHP'!$E:$E,176)),"",INDEX('Milestone Tracker – IHP'!$E:$E,176))</f>
        <v/>
      </c>
      <c r="F174" t="str">
        <f>IF(ISBLANK(INDEX('Milestone Tracker – IHP'!$F:$F,176)),"",INDEX('Milestone Tracker – IHP'!$F:$F,176))</f>
        <v/>
      </c>
      <c r="G174" t="e">
        <f>IF(ISBLANK(INDEX('Milestone Tracker – IHP'!#REF!,176)),"",INDEX('Milestone Tracker – IHP'!#REF!,176))</f>
        <v>#REF!</v>
      </c>
      <c r="H174" t="str">
        <f>IF(ISBLANK(INDEX('Milestone Tracker – IHP'!$G:$G,176)),"",INDEX('Milestone Tracker – IHP'!$G:$G,176))</f>
        <v/>
      </c>
      <c r="I174" t="str">
        <f>IF(ISBLANK(INDEX('Milestone Tracker – IHP'!$H:$H,176)),"",INDEX('Milestone Tracker – IHP'!$H:$H,176))</f>
        <v/>
      </c>
      <c r="J174" t="e">
        <f>IF(ISBLANK(INDEX('Milestone Tracker – IHP'!#REF!,176)),"",INDEX('Milestone Tracker – IHP'!#REF!,176))</f>
        <v>#REF!</v>
      </c>
      <c r="K174">
        <f t="shared" si="4"/>
        <v>0</v>
      </c>
      <c r="L174">
        <f t="shared" si="5"/>
        <v>0</v>
      </c>
    </row>
    <row r="175" spans="1:12" x14ac:dyDescent="0.35">
      <c r="A175">
        <v>177</v>
      </c>
      <c r="B175">
        <f>IF(ISBLANK(INDEX('Milestone Tracker – IHP'!$B:$B,177)),B174,INDEX('Milestone Tracker – IHP'!$B:$B,177))</f>
        <v>0</v>
      </c>
      <c r="C175">
        <f>IF(ISBLANK(INDEX('Milestone Tracker – IHP'!$C:$C,177)),C174,INDEX('Milestone Tracker – IHP'!$C:$C,177))</f>
        <v>0</v>
      </c>
      <c r="D175">
        <f>IF(ISBLANK(INDEX('Milestone Tracker – IHP'!$D:$D,177)),D174,INDEX('Milestone Tracker – IHP'!$D:$D,177))</f>
        <v>0</v>
      </c>
      <c r="E175" t="str">
        <f>IF(ISBLANK(INDEX('Milestone Tracker – IHP'!$E:$E,177)),"",INDEX('Milestone Tracker – IHP'!$E:$E,177))</f>
        <v/>
      </c>
      <c r="F175" t="str">
        <f>IF(ISBLANK(INDEX('Milestone Tracker – IHP'!$F:$F,177)),"",INDEX('Milestone Tracker – IHP'!$F:$F,177))</f>
        <v/>
      </c>
      <c r="G175" t="e">
        <f>IF(ISBLANK(INDEX('Milestone Tracker – IHP'!#REF!,177)),"",INDEX('Milestone Tracker – IHP'!#REF!,177))</f>
        <v>#REF!</v>
      </c>
      <c r="H175" t="str">
        <f>IF(ISBLANK(INDEX('Milestone Tracker – IHP'!$G:$G,177)),"",INDEX('Milestone Tracker – IHP'!$G:$G,177))</f>
        <v/>
      </c>
      <c r="I175" t="str">
        <f>IF(ISBLANK(INDEX('Milestone Tracker – IHP'!$H:$H,177)),"",INDEX('Milestone Tracker – IHP'!$H:$H,177))</f>
        <v/>
      </c>
      <c r="J175" t="e">
        <f>IF(ISBLANK(INDEX('Milestone Tracker – IHP'!#REF!,177)),"",INDEX('Milestone Tracker – IHP'!#REF!,177))</f>
        <v>#REF!</v>
      </c>
      <c r="K175">
        <f t="shared" si="4"/>
        <v>0</v>
      </c>
      <c r="L175">
        <f t="shared" si="5"/>
        <v>0</v>
      </c>
    </row>
    <row r="176" spans="1:12" x14ac:dyDescent="0.35">
      <c r="A176">
        <v>178</v>
      </c>
      <c r="B176">
        <f>IF(ISBLANK(INDEX('Milestone Tracker – IHP'!$B:$B,178)),B175,INDEX('Milestone Tracker – IHP'!$B:$B,178))</f>
        <v>0</v>
      </c>
      <c r="C176">
        <f>IF(ISBLANK(INDEX('Milestone Tracker – IHP'!$C:$C,178)),C175,INDEX('Milestone Tracker – IHP'!$C:$C,178))</f>
        <v>0</v>
      </c>
      <c r="D176">
        <f>IF(ISBLANK(INDEX('Milestone Tracker – IHP'!$D:$D,178)),D175,INDEX('Milestone Tracker – IHP'!$D:$D,178))</f>
        <v>0</v>
      </c>
      <c r="E176" t="str">
        <f>IF(ISBLANK(INDEX('Milestone Tracker – IHP'!$E:$E,178)),"",INDEX('Milestone Tracker – IHP'!$E:$E,178))</f>
        <v/>
      </c>
      <c r="F176" t="str">
        <f>IF(ISBLANK(INDEX('Milestone Tracker – IHP'!$F:$F,178)),"",INDEX('Milestone Tracker – IHP'!$F:$F,178))</f>
        <v/>
      </c>
      <c r="G176" t="e">
        <f>IF(ISBLANK(INDEX('Milestone Tracker – IHP'!#REF!,178)),"",INDEX('Milestone Tracker – IHP'!#REF!,178))</f>
        <v>#REF!</v>
      </c>
      <c r="H176" t="str">
        <f>IF(ISBLANK(INDEX('Milestone Tracker – IHP'!$G:$G,178)),"",INDEX('Milestone Tracker – IHP'!$G:$G,178))</f>
        <v/>
      </c>
      <c r="I176" t="str">
        <f>IF(ISBLANK(INDEX('Milestone Tracker – IHP'!$H:$H,178)),"",INDEX('Milestone Tracker – IHP'!$H:$H,178))</f>
        <v/>
      </c>
      <c r="J176" t="e">
        <f>IF(ISBLANK(INDEX('Milestone Tracker – IHP'!#REF!,178)),"",INDEX('Milestone Tracker – IHP'!#REF!,178))</f>
        <v>#REF!</v>
      </c>
      <c r="K176">
        <f t="shared" si="4"/>
        <v>0</v>
      </c>
      <c r="L176">
        <f t="shared" si="5"/>
        <v>0</v>
      </c>
    </row>
    <row r="177" spans="1:12" x14ac:dyDescent="0.35">
      <c r="A177">
        <v>179</v>
      </c>
      <c r="B177">
        <f>IF(ISBLANK(INDEX('Milestone Tracker – IHP'!$B:$B,179)),B176,INDEX('Milestone Tracker – IHP'!$B:$B,179))</f>
        <v>0</v>
      </c>
      <c r="C177">
        <f>IF(ISBLANK(INDEX('Milestone Tracker – IHP'!$C:$C,179)),C176,INDEX('Milestone Tracker – IHP'!$C:$C,179))</f>
        <v>0</v>
      </c>
      <c r="D177">
        <f>IF(ISBLANK(INDEX('Milestone Tracker – IHP'!$D:$D,179)),D176,INDEX('Milestone Tracker – IHP'!$D:$D,179))</f>
        <v>0</v>
      </c>
      <c r="E177" t="str">
        <f>IF(ISBLANK(INDEX('Milestone Tracker – IHP'!$E:$E,179)),"",INDEX('Milestone Tracker – IHP'!$E:$E,179))</f>
        <v/>
      </c>
      <c r="F177" t="str">
        <f>IF(ISBLANK(INDEX('Milestone Tracker – IHP'!$F:$F,179)),"",INDEX('Milestone Tracker – IHP'!$F:$F,179))</f>
        <v/>
      </c>
      <c r="G177" t="e">
        <f>IF(ISBLANK(INDEX('Milestone Tracker – IHP'!#REF!,179)),"",INDEX('Milestone Tracker – IHP'!#REF!,179))</f>
        <v>#REF!</v>
      </c>
      <c r="H177" t="str">
        <f>IF(ISBLANK(INDEX('Milestone Tracker – IHP'!$G:$G,179)),"",INDEX('Milestone Tracker – IHP'!$G:$G,179))</f>
        <v/>
      </c>
      <c r="I177" t="str">
        <f>IF(ISBLANK(INDEX('Milestone Tracker – IHP'!$H:$H,179)),"",INDEX('Milestone Tracker – IHP'!$H:$H,179))</f>
        <v/>
      </c>
      <c r="J177" t="e">
        <f>IF(ISBLANK(INDEX('Milestone Tracker – IHP'!#REF!,179)),"",INDEX('Milestone Tracker – IHP'!#REF!,179))</f>
        <v>#REF!</v>
      </c>
      <c r="K177">
        <f t="shared" si="4"/>
        <v>0</v>
      </c>
      <c r="L177">
        <f t="shared" si="5"/>
        <v>0</v>
      </c>
    </row>
    <row r="178" spans="1:12" x14ac:dyDescent="0.35">
      <c r="A178">
        <v>180</v>
      </c>
      <c r="B178">
        <f>IF(ISBLANK(INDEX('Milestone Tracker – IHP'!$B:$B,180)),B177,INDEX('Milestone Tracker – IHP'!$B:$B,180))</f>
        <v>0</v>
      </c>
      <c r="C178">
        <f>IF(ISBLANK(INDEX('Milestone Tracker – IHP'!$C:$C,180)),C177,INDEX('Milestone Tracker – IHP'!$C:$C,180))</f>
        <v>0</v>
      </c>
      <c r="D178">
        <f>IF(ISBLANK(INDEX('Milestone Tracker – IHP'!$D:$D,180)),D177,INDEX('Milestone Tracker – IHP'!$D:$D,180))</f>
        <v>0</v>
      </c>
      <c r="E178" t="str">
        <f>IF(ISBLANK(INDEX('Milestone Tracker – IHP'!$E:$E,180)),"",INDEX('Milestone Tracker – IHP'!$E:$E,180))</f>
        <v/>
      </c>
      <c r="F178" t="str">
        <f>IF(ISBLANK(INDEX('Milestone Tracker – IHP'!$F:$F,180)),"",INDEX('Milestone Tracker – IHP'!$F:$F,180))</f>
        <v/>
      </c>
      <c r="G178" t="e">
        <f>IF(ISBLANK(INDEX('Milestone Tracker – IHP'!#REF!,180)),"",INDEX('Milestone Tracker – IHP'!#REF!,180))</f>
        <v>#REF!</v>
      </c>
      <c r="H178" t="str">
        <f>IF(ISBLANK(INDEX('Milestone Tracker – IHP'!$G:$G,180)),"",INDEX('Milestone Tracker – IHP'!$G:$G,180))</f>
        <v/>
      </c>
      <c r="I178" t="str">
        <f>IF(ISBLANK(INDEX('Milestone Tracker – IHP'!$H:$H,180)),"",INDEX('Milestone Tracker – IHP'!$H:$H,180))</f>
        <v/>
      </c>
      <c r="J178" t="e">
        <f>IF(ISBLANK(INDEX('Milestone Tracker – IHP'!#REF!,180)),"",INDEX('Milestone Tracker – IHP'!#REF!,180))</f>
        <v>#REF!</v>
      </c>
      <c r="K178">
        <f t="shared" si="4"/>
        <v>0</v>
      </c>
      <c r="L178">
        <f t="shared" si="5"/>
        <v>0</v>
      </c>
    </row>
    <row r="179" spans="1:12" x14ac:dyDescent="0.35">
      <c r="A179">
        <v>181</v>
      </c>
      <c r="B179">
        <f>IF(ISBLANK(INDEX('Milestone Tracker – IHP'!$B:$B,181)),B178,INDEX('Milestone Tracker – IHP'!$B:$B,181))</f>
        <v>0</v>
      </c>
      <c r="C179">
        <f>IF(ISBLANK(INDEX('Milestone Tracker – IHP'!$C:$C,181)),C178,INDEX('Milestone Tracker – IHP'!$C:$C,181))</f>
        <v>0</v>
      </c>
      <c r="D179">
        <f>IF(ISBLANK(INDEX('Milestone Tracker – IHP'!$D:$D,181)),D178,INDEX('Milestone Tracker – IHP'!$D:$D,181))</f>
        <v>0</v>
      </c>
      <c r="E179" t="str">
        <f>IF(ISBLANK(INDEX('Milestone Tracker – IHP'!$E:$E,181)),"",INDEX('Milestone Tracker – IHP'!$E:$E,181))</f>
        <v/>
      </c>
      <c r="F179" t="str">
        <f>IF(ISBLANK(INDEX('Milestone Tracker – IHP'!$F:$F,181)),"",INDEX('Milestone Tracker – IHP'!$F:$F,181))</f>
        <v/>
      </c>
      <c r="G179" t="e">
        <f>IF(ISBLANK(INDEX('Milestone Tracker – IHP'!#REF!,181)),"",INDEX('Milestone Tracker – IHP'!#REF!,181))</f>
        <v>#REF!</v>
      </c>
      <c r="H179" t="str">
        <f>IF(ISBLANK(INDEX('Milestone Tracker – IHP'!$G:$G,181)),"",INDEX('Milestone Tracker – IHP'!$G:$G,181))</f>
        <v/>
      </c>
      <c r="I179" t="str">
        <f>IF(ISBLANK(INDEX('Milestone Tracker – IHP'!$H:$H,181)),"",INDEX('Milestone Tracker – IHP'!$H:$H,181))</f>
        <v/>
      </c>
      <c r="J179" t="e">
        <f>IF(ISBLANK(INDEX('Milestone Tracker – IHP'!#REF!,181)),"",INDEX('Milestone Tracker – IHP'!#REF!,181))</f>
        <v>#REF!</v>
      </c>
      <c r="K179">
        <f t="shared" si="4"/>
        <v>0</v>
      </c>
      <c r="L179">
        <f t="shared" si="5"/>
        <v>0</v>
      </c>
    </row>
    <row r="180" spans="1:12" x14ac:dyDescent="0.35">
      <c r="A180">
        <v>182</v>
      </c>
      <c r="B180">
        <f>IF(ISBLANK(INDEX('Milestone Tracker – IHP'!$B:$B,182)),B179,INDEX('Milestone Tracker – IHP'!$B:$B,182))</f>
        <v>0</v>
      </c>
      <c r="C180">
        <f>IF(ISBLANK(INDEX('Milestone Tracker – IHP'!$C:$C,182)),C179,INDEX('Milestone Tracker – IHP'!$C:$C,182))</f>
        <v>0</v>
      </c>
      <c r="D180">
        <f>IF(ISBLANK(INDEX('Milestone Tracker – IHP'!$D:$D,182)),D179,INDEX('Milestone Tracker – IHP'!$D:$D,182))</f>
        <v>0</v>
      </c>
      <c r="E180" t="str">
        <f>IF(ISBLANK(INDEX('Milestone Tracker – IHP'!$E:$E,182)),"",INDEX('Milestone Tracker – IHP'!$E:$E,182))</f>
        <v/>
      </c>
      <c r="F180" t="str">
        <f>IF(ISBLANK(INDEX('Milestone Tracker – IHP'!$F:$F,182)),"",INDEX('Milestone Tracker – IHP'!$F:$F,182))</f>
        <v/>
      </c>
      <c r="G180" t="e">
        <f>IF(ISBLANK(INDEX('Milestone Tracker – IHP'!#REF!,182)),"",INDEX('Milestone Tracker – IHP'!#REF!,182))</f>
        <v>#REF!</v>
      </c>
      <c r="H180" t="str">
        <f>IF(ISBLANK(INDEX('Milestone Tracker – IHP'!$G:$G,182)),"",INDEX('Milestone Tracker – IHP'!$G:$G,182))</f>
        <v/>
      </c>
      <c r="I180" t="str">
        <f>IF(ISBLANK(INDEX('Milestone Tracker – IHP'!$H:$H,182)),"",INDEX('Milestone Tracker – IHP'!$H:$H,182))</f>
        <v/>
      </c>
      <c r="J180" t="e">
        <f>IF(ISBLANK(INDEX('Milestone Tracker – IHP'!#REF!,182)),"",INDEX('Milestone Tracker – IHP'!#REF!,182))</f>
        <v>#REF!</v>
      </c>
      <c r="K180">
        <f t="shared" si="4"/>
        <v>0</v>
      </c>
      <c r="L180">
        <f t="shared" si="5"/>
        <v>0</v>
      </c>
    </row>
    <row r="181" spans="1:12" x14ac:dyDescent="0.35">
      <c r="A181">
        <v>183</v>
      </c>
      <c r="B181">
        <f>IF(ISBLANK(INDEX('Milestone Tracker – IHP'!$B:$B,183)),B180,INDEX('Milestone Tracker – IHP'!$B:$B,183))</f>
        <v>0</v>
      </c>
      <c r="C181">
        <f>IF(ISBLANK(INDEX('Milestone Tracker – IHP'!$C:$C,183)),C180,INDEX('Milestone Tracker – IHP'!$C:$C,183))</f>
        <v>0</v>
      </c>
      <c r="D181">
        <f>IF(ISBLANK(INDEX('Milestone Tracker – IHP'!$D:$D,183)),D180,INDEX('Milestone Tracker – IHP'!$D:$D,183))</f>
        <v>0</v>
      </c>
      <c r="E181" t="str">
        <f>IF(ISBLANK(INDEX('Milestone Tracker – IHP'!$E:$E,183)),"",INDEX('Milestone Tracker – IHP'!$E:$E,183))</f>
        <v/>
      </c>
      <c r="F181" t="str">
        <f>IF(ISBLANK(INDEX('Milestone Tracker – IHP'!$F:$F,183)),"",INDEX('Milestone Tracker – IHP'!$F:$F,183))</f>
        <v/>
      </c>
      <c r="G181" t="e">
        <f>IF(ISBLANK(INDEX('Milestone Tracker – IHP'!#REF!,183)),"",INDEX('Milestone Tracker – IHP'!#REF!,183))</f>
        <v>#REF!</v>
      </c>
      <c r="H181" t="str">
        <f>IF(ISBLANK(INDEX('Milestone Tracker – IHP'!$G:$G,183)),"",INDEX('Milestone Tracker – IHP'!$G:$G,183))</f>
        <v/>
      </c>
      <c r="I181" t="str">
        <f>IF(ISBLANK(INDEX('Milestone Tracker – IHP'!$H:$H,183)),"",INDEX('Milestone Tracker – IHP'!$H:$H,183))</f>
        <v/>
      </c>
      <c r="J181" t="e">
        <f>IF(ISBLANK(INDEX('Milestone Tracker – IHP'!#REF!,183)),"",INDEX('Milestone Tracker – IHP'!#REF!,183))</f>
        <v>#REF!</v>
      </c>
      <c r="K181">
        <f t="shared" si="4"/>
        <v>0</v>
      </c>
      <c r="L181">
        <f t="shared" si="5"/>
        <v>0</v>
      </c>
    </row>
    <row r="182" spans="1:12" x14ac:dyDescent="0.35">
      <c r="A182">
        <v>184</v>
      </c>
      <c r="B182">
        <f>IF(ISBLANK(INDEX('Milestone Tracker – IHP'!$B:$B,184)),B181,INDEX('Milestone Tracker – IHP'!$B:$B,184))</f>
        <v>0</v>
      </c>
      <c r="C182">
        <f>IF(ISBLANK(INDEX('Milestone Tracker – IHP'!$C:$C,184)),C181,INDEX('Milestone Tracker – IHP'!$C:$C,184))</f>
        <v>0</v>
      </c>
      <c r="D182">
        <f>IF(ISBLANK(INDEX('Milestone Tracker – IHP'!$D:$D,184)),D181,INDEX('Milestone Tracker – IHP'!$D:$D,184))</f>
        <v>0</v>
      </c>
      <c r="E182" t="str">
        <f>IF(ISBLANK(INDEX('Milestone Tracker – IHP'!$E:$E,184)),"",INDEX('Milestone Tracker – IHP'!$E:$E,184))</f>
        <v/>
      </c>
      <c r="F182" t="str">
        <f>IF(ISBLANK(INDEX('Milestone Tracker – IHP'!$F:$F,184)),"",INDEX('Milestone Tracker – IHP'!$F:$F,184))</f>
        <v/>
      </c>
      <c r="G182" t="e">
        <f>IF(ISBLANK(INDEX('Milestone Tracker – IHP'!#REF!,184)),"",INDEX('Milestone Tracker – IHP'!#REF!,184))</f>
        <v>#REF!</v>
      </c>
      <c r="H182" t="str">
        <f>IF(ISBLANK(INDEX('Milestone Tracker – IHP'!$G:$G,184)),"",INDEX('Milestone Tracker – IHP'!$G:$G,184))</f>
        <v/>
      </c>
      <c r="I182" t="str">
        <f>IF(ISBLANK(INDEX('Milestone Tracker – IHP'!$H:$H,184)),"",INDEX('Milestone Tracker – IHP'!$H:$H,184))</f>
        <v/>
      </c>
      <c r="J182" t="e">
        <f>IF(ISBLANK(INDEX('Milestone Tracker – IHP'!#REF!,184)),"",INDEX('Milestone Tracker – IHP'!#REF!,184))</f>
        <v>#REF!</v>
      </c>
      <c r="K182">
        <f t="shared" si="4"/>
        <v>0</v>
      </c>
      <c r="L182">
        <f t="shared" si="5"/>
        <v>0</v>
      </c>
    </row>
    <row r="183" spans="1:12" x14ac:dyDescent="0.35">
      <c r="A183">
        <v>185</v>
      </c>
      <c r="B183">
        <f>IF(ISBLANK(INDEX('Milestone Tracker – IHP'!$B:$B,185)),B182,INDEX('Milestone Tracker – IHP'!$B:$B,185))</f>
        <v>0</v>
      </c>
      <c r="C183">
        <f>IF(ISBLANK(INDEX('Milestone Tracker – IHP'!$C:$C,185)),C182,INDEX('Milestone Tracker – IHP'!$C:$C,185))</f>
        <v>0</v>
      </c>
      <c r="D183">
        <f>IF(ISBLANK(INDEX('Milestone Tracker – IHP'!$D:$D,185)),D182,INDEX('Milestone Tracker – IHP'!$D:$D,185))</f>
        <v>0</v>
      </c>
      <c r="E183" t="str">
        <f>IF(ISBLANK(INDEX('Milestone Tracker – IHP'!$E:$E,185)),"",INDEX('Milestone Tracker – IHP'!$E:$E,185))</f>
        <v/>
      </c>
      <c r="F183" t="str">
        <f>IF(ISBLANK(INDEX('Milestone Tracker – IHP'!$F:$F,185)),"",INDEX('Milestone Tracker – IHP'!$F:$F,185))</f>
        <v/>
      </c>
      <c r="G183" t="e">
        <f>IF(ISBLANK(INDEX('Milestone Tracker – IHP'!#REF!,185)),"",INDEX('Milestone Tracker – IHP'!#REF!,185))</f>
        <v>#REF!</v>
      </c>
      <c r="H183" t="str">
        <f>IF(ISBLANK(INDEX('Milestone Tracker – IHP'!$G:$G,185)),"",INDEX('Milestone Tracker – IHP'!$G:$G,185))</f>
        <v/>
      </c>
      <c r="I183" t="str">
        <f>IF(ISBLANK(INDEX('Milestone Tracker – IHP'!$H:$H,185)),"",INDEX('Milestone Tracker – IHP'!$H:$H,185))</f>
        <v/>
      </c>
      <c r="J183" t="e">
        <f>IF(ISBLANK(INDEX('Milestone Tracker – IHP'!#REF!,185)),"",INDEX('Milestone Tracker – IHP'!#REF!,185))</f>
        <v>#REF!</v>
      </c>
      <c r="K183">
        <f t="shared" si="4"/>
        <v>0</v>
      </c>
      <c r="L183">
        <f t="shared" si="5"/>
        <v>0</v>
      </c>
    </row>
    <row r="184" spans="1:12" x14ac:dyDescent="0.35">
      <c r="A184">
        <v>186</v>
      </c>
      <c r="B184">
        <f>IF(ISBLANK(INDEX('Milestone Tracker – IHP'!$B:$B,186)),B183,INDEX('Milestone Tracker – IHP'!$B:$B,186))</f>
        <v>0</v>
      </c>
      <c r="C184">
        <f>IF(ISBLANK(INDEX('Milestone Tracker – IHP'!$C:$C,186)),C183,INDEX('Milestone Tracker – IHP'!$C:$C,186))</f>
        <v>0</v>
      </c>
      <c r="D184">
        <f>IF(ISBLANK(INDEX('Milestone Tracker – IHP'!$D:$D,186)),D183,INDEX('Milestone Tracker – IHP'!$D:$D,186))</f>
        <v>0</v>
      </c>
      <c r="E184" t="str">
        <f>IF(ISBLANK(INDEX('Milestone Tracker – IHP'!$E:$E,186)),"",INDEX('Milestone Tracker – IHP'!$E:$E,186))</f>
        <v/>
      </c>
      <c r="F184" t="str">
        <f>IF(ISBLANK(INDEX('Milestone Tracker – IHP'!$F:$F,186)),"",INDEX('Milestone Tracker – IHP'!$F:$F,186))</f>
        <v/>
      </c>
      <c r="G184" t="e">
        <f>IF(ISBLANK(INDEX('Milestone Tracker – IHP'!#REF!,186)),"",INDEX('Milestone Tracker – IHP'!#REF!,186))</f>
        <v>#REF!</v>
      </c>
      <c r="H184" t="str">
        <f>IF(ISBLANK(INDEX('Milestone Tracker – IHP'!$G:$G,186)),"",INDEX('Milestone Tracker – IHP'!$G:$G,186))</f>
        <v/>
      </c>
      <c r="I184" t="str">
        <f>IF(ISBLANK(INDEX('Milestone Tracker – IHP'!$H:$H,186)),"",INDEX('Milestone Tracker – IHP'!$H:$H,186))</f>
        <v/>
      </c>
      <c r="J184" t="e">
        <f>IF(ISBLANK(INDEX('Milestone Tracker – IHP'!#REF!,186)),"",INDEX('Milestone Tracker – IHP'!#REF!,186))</f>
        <v>#REF!</v>
      </c>
      <c r="K184">
        <f t="shared" si="4"/>
        <v>0</v>
      </c>
      <c r="L184">
        <f t="shared" si="5"/>
        <v>0</v>
      </c>
    </row>
    <row r="185" spans="1:12" x14ac:dyDescent="0.35">
      <c r="A185">
        <v>187</v>
      </c>
      <c r="B185">
        <f>IF(ISBLANK(INDEX('Milestone Tracker – IHP'!$B:$B,187)),B184,INDEX('Milestone Tracker – IHP'!$B:$B,187))</f>
        <v>0</v>
      </c>
      <c r="C185">
        <f>IF(ISBLANK(INDEX('Milestone Tracker – IHP'!$C:$C,187)),C184,INDEX('Milestone Tracker – IHP'!$C:$C,187))</f>
        <v>0</v>
      </c>
      <c r="D185">
        <f>IF(ISBLANK(INDEX('Milestone Tracker – IHP'!$D:$D,187)),D184,INDEX('Milestone Tracker – IHP'!$D:$D,187))</f>
        <v>0</v>
      </c>
      <c r="E185" t="str">
        <f>IF(ISBLANK(INDEX('Milestone Tracker – IHP'!$E:$E,187)),"",INDEX('Milestone Tracker – IHP'!$E:$E,187))</f>
        <v/>
      </c>
      <c r="F185" t="str">
        <f>IF(ISBLANK(INDEX('Milestone Tracker – IHP'!$F:$F,187)),"",INDEX('Milestone Tracker – IHP'!$F:$F,187))</f>
        <v/>
      </c>
      <c r="G185" t="e">
        <f>IF(ISBLANK(INDEX('Milestone Tracker – IHP'!#REF!,187)),"",INDEX('Milestone Tracker – IHP'!#REF!,187))</f>
        <v>#REF!</v>
      </c>
      <c r="H185" t="str">
        <f>IF(ISBLANK(INDEX('Milestone Tracker – IHP'!$G:$G,187)),"",INDEX('Milestone Tracker – IHP'!$G:$G,187))</f>
        <v/>
      </c>
      <c r="I185" t="str">
        <f>IF(ISBLANK(INDEX('Milestone Tracker – IHP'!$H:$H,187)),"",INDEX('Milestone Tracker – IHP'!$H:$H,187))</f>
        <v/>
      </c>
      <c r="J185" t="e">
        <f>IF(ISBLANK(INDEX('Milestone Tracker – IHP'!#REF!,187)),"",INDEX('Milestone Tracker – IHP'!#REF!,187))</f>
        <v>#REF!</v>
      </c>
      <c r="K185">
        <f t="shared" si="4"/>
        <v>0</v>
      </c>
      <c r="L185">
        <f t="shared" si="5"/>
        <v>0</v>
      </c>
    </row>
    <row r="186" spans="1:12" x14ac:dyDescent="0.35">
      <c r="A186">
        <v>188</v>
      </c>
      <c r="B186">
        <f>IF(ISBLANK(INDEX('Milestone Tracker – IHP'!$B:$B,188)),B185,INDEX('Milestone Tracker – IHP'!$B:$B,188))</f>
        <v>0</v>
      </c>
      <c r="C186">
        <f>IF(ISBLANK(INDEX('Milestone Tracker – IHP'!$C:$C,188)),C185,INDEX('Milestone Tracker – IHP'!$C:$C,188))</f>
        <v>0</v>
      </c>
      <c r="D186">
        <f>IF(ISBLANK(INDEX('Milestone Tracker – IHP'!$D:$D,188)),D185,INDEX('Milestone Tracker – IHP'!$D:$D,188))</f>
        <v>0</v>
      </c>
      <c r="E186" t="str">
        <f>IF(ISBLANK(INDEX('Milestone Tracker – IHP'!$E:$E,188)),"",INDEX('Milestone Tracker – IHP'!$E:$E,188))</f>
        <v/>
      </c>
      <c r="F186" t="str">
        <f>IF(ISBLANK(INDEX('Milestone Tracker – IHP'!$F:$F,188)),"",INDEX('Milestone Tracker – IHP'!$F:$F,188))</f>
        <v/>
      </c>
      <c r="G186" t="e">
        <f>IF(ISBLANK(INDEX('Milestone Tracker – IHP'!#REF!,188)),"",INDEX('Milestone Tracker – IHP'!#REF!,188))</f>
        <v>#REF!</v>
      </c>
      <c r="H186" t="str">
        <f>IF(ISBLANK(INDEX('Milestone Tracker – IHP'!$G:$G,188)),"",INDEX('Milestone Tracker – IHP'!$G:$G,188))</f>
        <v/>
      </c>
      <c r="I186" t="str">
        <f>IF(ISBLANK(INDEX('Milestone Tracker – IHP'!$H:$H,188)),"",INDEX('Milestone Tracker – IHP'!$H:$H,188))</f>
        <v/>
      </c>
      <c r="J186" t="e">
        <f>IF(ISBLANK(INDEX('Milestone Tracker – IHP'!#REF!,188)),"",INDEX('Milestone Tracker – IHP'!#REF!,188))</f>
        <v>#REF!</v>
      </c>
      <c r="K186">
        <f t="shared" si="4"/>
        <v>0</v>
      </c>
      <c r="L186">
        <f t="shared" si="5"/>
        <v>0</v>
      </c>
    </row>
    <row r="187" spans="1:12" x14ac:dyDescent="0.35">
      <c r="A187">
        <v>189</v>
      </c>
      <c r="B187">
        <f>IF(ISBLANK(INDEX('Milestone Tracker – IHP'!$B:$B,189)),B186,INDEX('Milestone Tracker – IHP'!$B:$B,189))</f>
        <v>0</v>
      </c>
      <c r="C187">
        <f>IF(ISBLANK(INDEX('Milestone Tracker – IHP'!$C:$C,189)),C186,INDEX('Milestone Tracker – IHP'!$C:$C,189))</f>
        <v>0</v>
      </c>
      <c r="D187">
        <f>IF(ISBLANK(INDEX('Milestone Tracker – IHP'!$D:$D,189)),D186,INDEX('Milestone Tracker – IHP'!$D:$D,189))</f>
        <v>0</v>
      </c>
      <c r="E187" t="str">
        <f>IF(ISBLANK(INDEX('Milestone Tracker – IHP'!$E:$E,189)),"",INDEX('Milestone Tracker – IHP'!$E:$E,189))</f>
        <v/>
      </c>
      <c r="F187" t="str">
        <f>IF(ISBLANK(INDEX('Milestone Tracker – IHP'!$F:$F,189)),"",INDEX('Milestone Tracker – IHP'!$F:$F,189))</f>
        <v/>
      </c>
      <c r="G187" t="e">
        <f>IF(ISBLANK(INDEX('Milestone Tracker – IHP'!#REF!,189)),"",INDEX('Milestone Tracker – IHP'!#REF!,189))</f>
        <v>#REF!</v>
      </c>
      <c r="H187" t="str">
        <f>IF(ISBLANK(INDEX('Milestone Tracker – IHP'!$G:$G,189)),"",INDEX('Milestone Tracker – IHP'!$G:$G,189))</f>
        <v/>
      </c>
      <c r="I187" t="str">
        <f>IF(ISBLANK(INDEX('Milestone Tracker – IHP'!$H:$H,189)),"",INDEX('Milestone Tracker – IHP'!$H:$H,189))</f>
        <v/>
      </c>
      <c r="J187" t="e">
        <f>IF(ISBLANK(INDEX('Milestone Tracker – IHP'!#REF!,189)),"",INDEX('Milestone Tracker – IHP'!#REF!,189))</f>
        <v>#REF!</v>
      </c>
      <c r="K187">
        <f t="shared" si="4"/>
        <v>0</v>
      </c>
      <c r="L187">
        <f t="shared" si="5"/>
        <v>0</v>
      </c>
    </row>
    <row r="188" spans="1:12" x14ac:dyDescent="0.35">
      <c r="A188">
        <v>190</v>
      </c>
      <c r="B188">
        <f>IF(ISBLANK(INDEX('Milestone Tracker – IHP'!$B:$B,190)),B187,INDEX('Milestone Tracker – IHP'!$B:$B,190))</f>
        <v>0</v>
      </c>
      <c r="C188">
        <f>IF(ISBLANK(INDEX('Milestone Tracker – IHP'!$C:$C,190)),C187,INDEX('Milestone Tracker – IHP'!$C:$C,190))</f>
        <v>0</v>
      </c>
      <c r="D188">
        <f>IF(ISBLANK(INDEX('Milestone Tracker – IHP'!$D:$D,190)),D187,INDEX('Milestone Tracker – IHP'!$D:$D,190))</f>
        <v>0</v>
      </c>
      <c r="E188" t="str">
        <f>IF(ISBLANK(INDEX('Milestone Tracker – IHP'!$E:$E,190)),"",INDEX('Milestone Tracker – IHP'!$E:$E,190))</f>
        <v/>
      </c>
      <c r="F188" t="str">
        <f>IF(ISBLANK(INDEX('Milestone Tracker – IHP'!$F:$F,190)),"",INDEX('Milestone Tracker – IHP'!$F:$F,190))</f>
        <v/>
      </c>
      <c r="G188" t="e">
        <f>IF(ISBLANK(INDEX('Milestone Tracker – IHP'!#REF!,190)),"",INDEX('Milestone Tracker – IHP'!#REF!,190))</f>
        <v>#REF!</v>
      </c>
      <c r="H188" t="str">
        <f>IF(ISBLANK(INDEX('Milestone Tracker – IHP'!$G:$G,190)),"",INDEX('Milestone Tracker – IHP'!$G:$G,190))</f>
        <v/>
      </c>
      <c r="I188" t="str">
        <f>IF(ISBLANK(INDEX('Milestone Tracker – IHP'!$H:$H,190)),"",INDEX('Milestone Tracker – IHP'!$H:$H,190))</f>
        <v/>
      </c>
      <c r="J188" t="e">
        <f>IF(ISBLANK(INDEX('Milestone Tracker – IHP'!#REF!,190)),"",INDEX('Milestone Tracker – IHP'!#REF!,190))</f>
        <v>#REF!</v>
      </c>
      <c r="K188">
        <f t="shared" si="4"/>
        <v>0</v>
      </c>
      <c r="L188">
        <f t="shared" si="5"/>
        <v>0</v>
      </c>
    </row>
    <row r="189" spans="1:12" x14ac:dyDescent="0.35">
      <c r="A189">
        <v>191</v>
      </c>
      <c r="B189">
        <f>IF(ISBLANK(INDEX('Milestone Tracker – IHP'!$B:$B,191)),B188,INDEX('Milestone Tracker – IHP'!$B:$B,191))</f>
        <v>0</v>
      </c>
      <c r="C189">
        <f>IF(ISBLANK(INDEX('Milestone Tracker – IHP'!$C:$C,191)),C188,INDEX('Milestone Tracker – IHP'!$C:$C,191))</f>
        <v>0</v>
      </c>
      <c r="D189">
        <f>IF(ISBLANK(INDEX('Milestone Tracker – IHP'!$D:$D,191)),D188,INDEX('Milestone Tracker – IHP'!$D:$D,191))</f>
        <v>0</v>
      </c>
      <c r="E189" t="str">
        <f>IF(ISBLANK(INDEX('Milestone Tracker – IHP'!$E:$E,191)),"",INDEX('Milestone Tracker – IHP'!$E:$E,191))</f>
        <v/>
      </c>
      <c r="F189" t="str">
        <f>IF(ISBLANK(INDEX('Milestone Tracker – IHP'!$F:$F,191)),"",INDEX('Milestone Tracker – IHP'!$F:$F,191))</f>
        <v/>
      </c>
      <c r="G189" t="e">
        <f>IF(ISBLANK(INDEX('Milestone Tracker – IHP'!#REF!,191)),"",INDEX('Milestone Tracker – IHP'!#REF!,191))</f>
        <v>#REF!</v>
      </c>
      <c r="H189" t="str">
        <f>IF(ISBLANK(INDEX('Milestone Tracker – IHP'!$G:$G,191)),"",INDEX('Milestone Tracker – IHP'!$G:$G,191))</f>
        <v/>
      </c>
      <c r="I189" t="str">
        <f>IF(ISBLANK(INDEX('Milestone Tracker – IHP'!$H:$H,191)),"",INDEX('Milestone Tracker – IHP'!$H:$H,191))</f>
        <v/>
      </c>
      <c r="J189" t="e">
        <f>IF(ISBLANK(INDEX('Milestone Tracker – IHP'!#REF!,191)),"",INDEX('Milestone Tracker – IHP'!#REF!,191))</f>
        <v>#REF!</v>
      </c>
      <c r="K189">
        <f t="shared" si="4"/>
        <v>0</v>
      </c>
      <c r="L189">
        <f t="shared" si="5"/>
        <v>0</v>
      </c>
    </row>
    <row r="190" spans="1:12" x14ac:dyDescent="0.35">
      <c r="A190">
        <v>192</v>
      </c>
      <c r="B190">
        <f>IF(ISBLANK(INDEX('Milestone Tracker – IHP'!$B:$B,192)),B189,INDEX('Milestone Tracker – IHP'!$B:$B,192))</f>
        <v>0</v>
      </c>
      <c r="C190">
        <f>IF(ISBLANK(INDEX('Milestone Tracker – IHP'!$C:$C,192)),C189,INDEX('Milestone Tracker – IHP'!$C:$C,192))</f>
        <v>0</v>
      </c>
      <c r="D190">
        <f>IF(ISBLANK(INDEX('Milestone Tracker – IHP'!$D:$D,192)),D189,INDEX('Milestone Tracker – IHP'!$D:$D,192))</f>
        <v>0</v>
      </c>
      <c r="E190" t="str">
        <f>IF(ISBLANK(INDEX('Milestone Tracker – IHP'!$E:$E,192)),"",INDEX('Milestone Tracker – IHP'!$E:$E,192))</f>
        <v/>
      </c>
      <c r="F190" t="str">
        <f>IF(ISBLANK(INDEX('Milestone Tracker – IHP'!$F:$F,192)),"",INDEX('Milestone Tracker – IHP'!$F:$F,192))</f>
        <v/>
      </c>
      <c r="G190" t="e">
        <f>IF(ISBLANK(INDEX('Milestone Tracker – IHP'!#REF!,192)),"",INDEX('Milestone Tracker – IHP'!#REF!,192))</f>
        <v>#REF!</v>
      </c>
      <c r="H190" t="str">
        <f>IF(ISBLANK(INDEX('Milestone Tracker – IHP'!$G:$G,192)),"",INDEX('Milestone Tracker – IHP'!$G:$G,192))</f>
        <v/>
      </c>
      <c r="I190" t="str">
        <f>IF(ISBLANK(INDEX('Milestone Tracker – IHP'!$H:$H,192)),"",INDEX('Milestone Tracker – IHP'!$H:$H,192))</f>
        <v/>
      </c>
      <c r="J190" t="e">
        <f>IF(ISBLANK(INDEX('Milestone Tracker – IHP'!#REF!,192)),"",INDEX('Milestone Tracker – IHP'!#REF!,192))</f>
        <v>#REF!</v>
      </c>
      <c r="K190">
        <f t="shared" si="4"/>
        <v>0</v>
      </c>
      <c r="L190">
        <f t="shared" si="5"/>
        <v>0</v>
      </c>
    </row>
    <row r="191" spans="1:12" x14ac:dyDescent="0.35">
      <c r="A191">
        <v>193</v>
      </c>
      <c r="B191">
        <f>IF(ISBLANK(INDEX('Milestone Tracker – IHP'!$B:$B,193)),B190,INDEX('Milestone Tracker – IHP'!$B:$B,193))</f>
        <v>0</v>
      </c>
      <c r="C191">
        <f>IF(ISBLANK(INDEX('Milestone Tracker – IHP'!$C:$C,193)),C190,INDEX('Milestone Tracker – IHP'!$C:$C,193))</f>
        <v>0</v>
      </c>
      <c r="D191">
        <f>IF(ISBLANK(INDEX('Milestone Tracker – IHP'!$D:$D,193)),D190,INDEX('Milestone Tracker – IHP'!$D:$D,193))</f>
        <v>0</v>
      </c>
      <c r="E191" t="str">
        <f>IF(ISBLANK(INDEX('Milestone Tracker – IHP'!$E:$E,193)),"",INDEX('Milestone Tracker – IHP'!$E:$E,193))</f>
        <v/>
      </c>
      <c r="F191" t="str">
        <f>IF(ISBLANK(INDEX('Milestone Tracker – IHP'!$F:$F,193)),"",INDEX('Milestone Tracker – IHP'!$F:$F,193))</f>
        <v/>
      </c>
      <c r="G191" t="e">
        <f>IF(ISBLANK(INDEX('Milestone Tracker – IHP'!#REF!,193)),"",INDEX('Milestone Tracker – IHP'!#REF!,193))</f>
        <v>#REF!</v>
      </c>
      <c r="H191" t="str">
        <f>IF(ISBLANK(INDEX('Milestone Tracker – IHP'!$G:$G,193)),"",INDEX('Milestone Tracker – IHP'!$G:$G,193))</f>
        <v/>
      </c>
      <c r="I191" t="str">
        <f>IF(ISBLANK(INDEX('Milestone Tracker – IHP'!$H:$H,193)),"",INDEX('Milestone Tracker – IHP'!$H:$H,193))</f>
        <v/>
      </c>
      <c r="J191" t="e">
        <f>IF(ISBLANK(INDEX('Milestone Tracker – IHP'!#REF!,193)),"",INDEX('Milestone Tracker – IHP'!#REF!,193))</f>
        <v>#REF!</v>
      </c>
      <c r="K191">
        <f t="shared" si="4"/>
        <v>0</v>
      </c>
      <c r="L191">
        <f t="shared" si="5"/>
        <v>0</v>
      </c>
    </row>
    <row r="192" spans="1:12" x14ac:dyDescent="0.35">
      <c r="A192">
        <v>194</v>
      </c>
      <c r="B192">
        <f>IF(ISBLANK(INDEX('Milestone Tracker – IHP'!$B:$B,194)),B191,INDEX('Milestone Tracker – IHP'!$B:$B,194))</f>
        <v>0</v>
      </c>
      <c r="C192">
        <f>IF(ISBLANK(INDEX('Milestone Tracker – IHP'!$C:$C,194)),C191,INDEX('Milestone Tracker – IHP'!$C:$C,194))</f>
        <v>0</v>
      </c>
      <c r="D192">
        <f>IF(ISBLANK(INDEX('Milestone Tracker – IHP'!$D:$D,194)),D191,INDEX('Milestone Tracker – IHP'!$D:$D,194))</f>
        <v>0</v>
      </c>
      <c r="E192" t="str">
        <f>IF(ISBLANK(INDEX('Milestone Tracker – IHP'!$E:$E,194)),"",INDEX('Milestone Tracker – IHP'!$E:$E,194))</f>
        <v/>
      </c>
      <c r="F192" t="str">
        <f>IF(ISBLANK(INDEX('Milestone Tracker – IHP'!$F:$F,194)),"",INDEX('Milestone Tracker – IHP'!$F:$F,194))</f>
        <v/>
      </c>
      <c r="G192" t="e">
        <f>IF(ISBLANK(INDEX('Milestone Tracker – IHP'!#REF!,194)),"",INDEX('Milestone Tracker – IHP'!#REF!,194))</f>
        <v>#REF!</v>
      </c>
      <c r="H192" t="str">
        <f>IF(ISBLANK(INDEX('Milestone Tracker – IHP'!$G:$G,194)),"",INDEX('Milestone Tracker – IHP'!$G:$G,194))</f>
        <v/>
      </c>
      <c r="I192" t="str">
        <f>IF(ISBLANK(INDEX('Milestone Tracker – IHP'!$H:$H,194)),"",INDEX('Milestone Tracker – IHP'!$H:$H,194))</f>
        <v/>
      </c>
      <c r="J192" t="e">
        <f>IF(ISBLANK(INDEX('Milestone Tracker – IHP'!#REF!,194)),"",INDEX('Milestone Tracker – IHP'!#REF!,194))</f>
        <v>#REF!</v>
      </c>
      <c r="K192">
        <f t="shared" si="4"/>
        <v>0</v>
      </c>
      <c r="L192">
        <f t="shared" si="5"/>
        <v>0</v>
      </c>
    </row>
    <row r="193" spans="1:12" x14ac:dyDescent="0.35">
      <c r="A193">
        <v>195</v>
      </c>
      <c r="B193">
        <f>IF(ISBLANK(INDEX('Milestone Tracker – IHP'!$B:$B,195)),B192,INDEX('Milestone Tracker – IHP'!$B:$B,195))</f>
        <v>0</v>
      </c>
      <c r="C193">
        <f>IF(ISBLANK(INDEX('Milestone Tracker – IHP'!$C:$C,195)),C192,INDEX('Milestone Tracker – IHP'!$C:$C,195))</f>
        <v>0</v>
      </c>
      <c r="D193">
        <f>IF(ISBLANK(INDEX('Milestone Tracker – IHP'!$D:$D,195)),D192,INDEX('Milestone Tracker – IHP'!$D:$D,195))</f>
        <v>0</v>
      </c>
      <c r="E193" t="str">
        <f>IF(ISBLANK(INDEX('Milestone Tracker – IHP'!$E:$E,195)),"",INDEX('Milestone Tracker – IHP'!$E:$E,195))</f>
        <v/>
      </c>
      <c r="F193" t="str">
        <f>IF(ISBLANK(INDEX('Milestone Tracker – IHP'!$F:$F,195)),"",INDEX('Milestone Tracker – IHP'!$F:$F,195))</f>
        <v/>
      </c>
      <c r="G193" t="e">
        <f>IF(ISBLANK(INDEX('Milestone Tracker – IHP'!#REF!,195)),"",INDEX('Milestone Tracker – IHP'!#REF!,195))</f>
        <v>#REF!</v>
      </c>
      <c r="H193" t="str">
        <f>IF(ISBLANK(INDEX('Milestone Tracker – IHP'!$G:$G,195)),"",INDEX('Milestone Tracker – IHP'!$G:$G,195))</f>
        <v/>
      </c>
      <c r="I193" t="str">
        <f>IF(ISBLANK(INDEX('Milestone Tracker – IHP'!$H:$H,195)),"",INDEX('Milestone Tracker – IHP'!$H:$H,195))</f>
        <v/>
      </c>
      <c r="J193" t="e">
        <f>IF(ISBLANK(INDEX('Milestone Tracker – IHP'!#REF!,195)),"",INDEX('Milestone Tracker – IHP'!#REF!,195))</f>
        <v>#REF!</v>
      </c>
      <c r="K193">
        <f t="shared" si="4"/>
        <v>0</v>
      </c>
      <c r="L193">
        <f t="shared" si="5"/>
        <v>0</v>
      </c>
    </row>
    <row r="194" spans="1:12" x14ac:dyDescent="0.35">
      <c r="A194">
        <v>196</v>
      </c>
      <c r="B194">
        <f>IF(ISBLANK(INDEX('Milestone Tracker – IHP'!$B:$B,196)),B193,INDEX('Milestone Tracker – IHP'!$B:$B,196))</f>
        <v>0</v>
      </c>
      <c r="C194">
        <f>IF(ISBLANK(INDEX('Milestone Tracker – IHP'!$C:$C,196)),C193,INDEX('Milestone Tracker – IHP'!$C:$C,196))</f>
        <v>0</v>
      </c>
      <c r="D194">
        <f>IF(ISBLANK(INDEX('Milestone Tracker – IHP'!$D:$D,196)),D193,INDEX('Milestone Tracker – IHP'!$D:$D,196))</f>
        <v>0</v>
      </c>
      <c r="E194" t="str">
        <f>IF(ISBLANK(INDEX('Milestone Tracker – IHP'!$E:$E,196)),"",INDEX('Milestone Tracker – IHP'!$E:$E,196))</f>
        <v/>
      </c>
      <c r="F194" t="str">
        <f>IF(ISBLANK(INDEX('Milestone Tracker – IHP'!$F:$F,196)),"",INDEX('Milestone Tracker – IHP'!$F:$F,196))</f>
        <v/>
      </c>
      <c r="G194" t="e">
        <f>IF(ISBLANK(INDEX('Milestone Tracker – IHP'!#REF!,196)),"",INDEX('Milestone Tracker – IHP'!#REF!,196))</f>
        <v>#REF!</v>
      </c>
      <c r="H194" t="str">
        <f>IF(ISBLANK(INDEX('Milestone Tracker – IHP'!$G:$G,196)),"",INDEX('Milestone Tracker – IHP'!$G:$G,196))</f>
        <v/>
      </c>
      <c r="I194" t="str">
        <f>IF(ISBLANK(INDEX('Milestone Tracker – IHP'!$H:$H,196)),"",INDEX('Milestone Tracker – IHP'!$H:$H,196))</f>
        <v/>
      </c>
      <c r="J194" t="e">
        <f>IF(ISBLANK(INDEX('Milestone Tracker – IHP'!#REF!,196)),"",INDEX('Milestone Tracker – IHP'!#REF!,196))</f>
        <v>#REF!</v>
      </c>
      <c r="K194">
        <f t="shared" ref="K194:K257" si="6">IF(LEFT($E194,9)="Milestone",1,0)</f>
        <v>0</v>
      </c>
      <c r="L194">
        <f t="shared" ref="L194:L257" si="7">L193+K194</f>
        <v>0</v>
      </c>
    </row>
    <row r="195" spans="1:12" x14ac:dyDescent="0.35">
      <c r="A195">
        <v>197</v>
      </c>
      <c r="B195">
        <f>IF(ISBLANK(INDEX('Milestone Tracker – IHP'!$B:$B,197)),B194,INDEX('Milestone Tracker – IHP'!$B:$B,197))</f>
        <v>0</v>
      </c>
      <c r="C195">
        <f>IF(ISBLANK(INDEX('Milestone Tracker – IHP'!$C:$C,197)),C194,INDEX('Milestone Tracker – IHP'!$C:$C,197))</f>
        <v>0</v>
      </c>
      <c r="D195">
        <f>IF(ISBLANK(INDEX('Milestone Tracker – IHP'!$D:$D,197)),D194,INDEX('Milestone Tracker – IHP'!$D:$D,197))</f>
        <v>0</v>
      </c>
      <c r="E195" t="str">
        <f>IF(ISBLANK(INDEX('Milestone Tracker – IHP'!$E:$E,197)),"",INDEX('Milestone Tracker – IHP'!$E:$E,197))</f>
        <v/>
      </c>
      <c r="F195" t="str">
        <f>IF(ISBLANK(INDEX('Milestone Tracker – IHP'!$F:$F,197)),"",INDEX('Milestone Tracker – IHP'!$F:$F,197))</f>
        <v/>
      </c>
      <c r="G195" t="e">
        <f>IF(ISBLANK(INDEX('Milestone Tracker – IHP'!#REF!,197)),"",INDEX('Milestone Tracker – IHP'!#REF!,197))</f>
        <v>#REF!</v>
      </c>
      <c r="H195" t="str">
        <f>IF(ISBLANK(INDEX('Milestone Tracker – IHP'!$G:$G,197)),"",INDEX('Milestone Tracker – IHP'!$G:$G,197))</f>
        <v/>
      </c>
      <c r="I195" t="str">
        <f>IF(ISBLANK(INDEX('Milestone Tracker – IHP'!$H:$H,197)),"",INDEX('Milestone Tracker – IHP'!$H:$H,197))</f>
        <v/>
      </c>
      <c r="J195" t="e">
        <f>IF(ISBLANK(INDEX('Milestone Tracker – IHP'!#REF!,197)),"",INDEX('Milestone Tracker – IHP'!#REF!,197))</f>
        <v>#REF!</v>
      </c>
      <c r="K195">
        <f t="shared" si="6"/>
        <v>0</v>
      </c>
      <c r="L195">
        <f t="shared" si="7"/>
        <v>0</v>
      </c>
    </row>
    <row r="196" spans="1:12" x14ac:dyDescent="0.35">
      <c r="A196">
        <v>198</v>
      </c>
      <c r="B196">
        <f>IF(ISBLANK(INDEX('Milestone Tracker – IHP'!$B:$B,198)),B195,INDEX('Milestone Tracker – IHP'!$B:$B,198))</f>
        <v>0</v>
      </c>
      <c r="C196">
        <f>IF(ISBLANK(INDEX('Milestone Tracker – IHP'!$C:$C,198)),C195,INDEX('Milestone Tracker – IHP'!$C:$C,198))</f>
        <v>0</v>
      </c>
      <c r="D196">
        <f>IF(ISBLANK(INDEX('Milestone Tracker – IHP'!$D:$D,198)),D195,INDEX('Milestone Tracker – IHP'!$D:$D,198))</f>
        <v>0</v>
      </c>
      <c r="E196" t="str">
        <f>IF(ISBLANK(INDEX('Milestone Tracker – IHP'!$E:$E,198)),"",INDEX('Milestone Tracker – IHP'!$E:$E,198))</f>
        <v/>
      </c>
      <c r="F196" t="str">
        <f>IF(ISBLANK(INDEX('Milestone Tracker – IHP'!$F:$F,198)),"",INDEX('Milestone Tracker – IHP'!$F:$F,198))</f>
        <v/>
      </c>
      <c r="G196" t="e">
        <f>IF(ISBLANK(INDEX('Milestone Tracker – IHP'!#REF!,198)),"",INDEX('Milestone Tracker – IHP'!#REF!,198))</f>
        <v>#REF!</v>
      </c>
      <c r="H196" t="str">
        <f>IF(ISBLANK(INDEX('Milestone Tracker – IHP'!$G:$G,198)),"",INDEX('Milestone Tracker – IHP'!$G:$G,198))</f>
        <v/>
      </c>
      <c r="I196" t="str">
        <f>IF(ISBLANK(INDEX('Milestone Tracker – IHP'!$H:$H,198)),"",INDEX('Milestone Tracker – IHP'!$H:$H,198))</f>
        <v/>
      </c>
      <c r="J196" t="e">
        <f>IF(ISBLANK(INDEX('Milestone Tracker – IHP'!#REF!,198)),"",INDEX('Milestone Tracker – IHP'!#REF!,198))</f>
        <v>#REF!</v>
      </c>
      <c r="K196">
        <f t="shared" si="6"/>
        <v>0</v>
      </c>
      <c r="L196">
        <f t="shared" si="7"/>
        <v>0</v>
      </c>
    </row>
    <row r="197" spans="1:12" x14ac:dyDescent="0.35">
      <c r="A197">
        <v>199</v>
      </c>
      <c r="B197">
        <f>IF(ISBLANK(INDEX('Milestone Tracker – IHP'!$B:$B,199)),B196,INDEX('Milestone Tracker – IHP'!$B:$B,199))</f>
        <v>0</v>
      </c>
      <c r="C197">
        <f>IF(ISBLANK(INDEX('Milestone Tracker – IHP'!$C:$C,199)),C196,INDEX('Milestone Tracker – IHP'!$C:$C,199))</f>
        <v>0</v>
      </c>
      <c r="D197">
        <f>IF(ISBLANK(INDEX('Milestone Tracker – IHP'!$D:$D,199)),D196,INDEX('Milestone Tracker – IHP'!$D:$D,199))</f>
        <v>0</v>
      </c>
      <c r="E197" t="str">
        <f>IF(ISBLANK(INDEX('Milestone Tracker – IHP'!$E:$E,199)),"",INDEX('Milestone Tracker – IHP'!$E:$E,199))</f>
        <v/>
      </c>
      <c r="F197" t="str">
        <f>IF(ISBLANK(INDEX('Milestone Tracker – IHP'!$F:$F,199)),"",INDEX('Milestone Tracker – IHP'!$F:$F,199))</f>
        <v/>
      </c>
      <c r="G197" t="e">
        <f>IF(ISBLANK(INDEX('Milestone Tracker – IHP'!#REF!,199)),"",INDEX('Milestone Tracker – IHP'!#REF!,199))</f>
        <v>#REF!</v>
      </c>
      <c r="H197" t="str">
        <f>IF(ISBLANK(INDEX('Milestone Tracker – IHP'!$G:$G,199)),"",INDEX('Milestone Tracker – IHP'!$G:$G,199))</f>
        <v/>
      </c>
      <c r="I197" t="str">
        <f>IF(ISBLANK(INDEX('Milestone Tracker – IHP'!$H:$H,199)),"",INDEX('Milestone Tracker – IHP'!$H:$H,199))</f>
        <v/>
      </c>
      <c r="J197" t="e">
        <f>IF(ISBLANK(INDEX('Milestone Tracker – IHP'!#REF!,199)),"",INDEX('Milestone Tracker – IHP'!#REF!,199))</f>
        <v>#REF!</v>
      </c>
      <c r="K197">
        <f t="shared" si="6"/>
        <v>0</v>
      </c>
      <c r="L197">
        <f t="shared" si="7"/>
        <v>0</v>
      </c>
    </row>
    <row r="198" spans="1:12" x14ac:dyDescent="0.35">
      <c r="A198">
        <v>200</v>
      </c>
      <c r="B198">
        <f>IF(ISBLANK(INDEX('Milestone Tracker – IHP'!$B:$B,200)),B197,INDEX('Milestone Tracker – IHP'!$B:$B,200))</f>
        <v>0</v>
      </c>
      <c r="C198">
        <f>IF(ISBLANK(INDEX('Milestone Tracker – IHP'!$C:$C,200)),C197,INDEX('Milestone Tracker – IHP'!$C:$C,200))</f>
        <v>0</v>
      </c>
      <c r="D198">
        <f>IF(ISBLANK(INDEX('Milestone Tracker – IHP'!$D:$D,200)),D197,INDEX('Milestone Tracker – IHP'!$D:$D,200))</f>
        <v>0</v>
      </c>
      <c r="E198" t="str">
        <f>IF(ISBLANK(INDEX('Milestone Tracker – IHP'!$E:$E,200)),"",INDEX('Milestone Tracker – IHP'!$E:$E,200))</f>
        <v/>
      </c>
      <c r="F198" t="str">
        <f>IF(ISBLANK(INDEX('Milestone Tracker – IHP'!$F:$F,200)),"",INDEX('Milestone Tracker – IHP'!$F:$F,200))</f>
        <v/>
      </c>
      <c r="G198" t="e">
        <f>IF(ISBLANK(INDEX('Milestone Tracker – IHP'!#REF!,200)),"",INDEX('Milestone Tracker – IHP'!#REF!,200))</f>
        <v>#REF!</v>
      </c>
      <c r="H198" t="str">
        <f>IF(ISBLANK(INDEX('Milestone Tracker – IHP'!$G:$G,200)),"",INDEX('Milestone Tracker – IHP'!$G:$G,200))</f>
        <v/>
      </c>
      <c r="I198" t="str">
        <f>IF(ISBLANK(INDEX('Milestone Tracker – IHP'!$H:$H,200)),"",INDEX('Milestone Tracker – IHP'!$H:$H,200))</f>
        <v/>
      </c>
      <c r="J198" t="e">
        <f>IF(ISBLANK(INDEX('Milestone Tracker – IHP'!#REF!,200)),"",INDEX('Milestone Tracker – IHP'!#REF!,200))</f>
        <v>#REF!</v>
      </c>
      <c r="K198">
        <f t="shared" si="6"/>
        <v>0</v>
      </c>
      <c r="L198">
        <f t="shared" si="7"/>
        <v>0</v>
      </c>
    </row>
    <row r="199" spans="1:12" x14ac:dyDescent="0.35">
      <c r="A199">
        <v>201</v>
      </c>
      <c r="B199">
        <f>IF(ISBLANK(INDEX('Milestone Tracker – IHP'!$B:$B,201)),B198,INDEX('Milestone Tracker – IHP'!$B:$B,201))</f>
        <v>0</v>
      </c>
      <c r="C199">
        <f>IF(ISBLANK(INDEX('Milestone Tracker – IHP'!$C:$C,201)),C198,INDEX('Milestone Tracker – IHP'!$C:$C,201))</f>
        <v>0</v>
      </c>
      <c r="D199">
        <f>IF(ISBLANK(INDEX('Milestone Tracker – IHP'!$D:$D,201)),D198,INDEX('Milestone Tracker – IHP'!$D:$D,201))</f>
        <v>0</v>
      </c>
      <c r="E199" t="str">
        <f>IF(ISBLANK(INDEX('Milestone Tracker – IHP'!$E:$E,201)),"",INDEX('Milestone Tracker – IHP'!$E:$E,201))</f>
        <v/>
      </c>
      <c r="F199" t="str">
        <f>IF(ISBLANK(INDEX('Milestone Tracker – IHP'!$F:$F,201)),"",INDEX('Milestone Tracker – IHP'!$F:$F,201))</f>
        <v/>
      </c>
      <c r="G199" t="e">
        <f>IF(ISBLANK(INDEX('Milestone Tracker – IHP'!#REF!,201)),"",INDEX('Milestone Tracker – IHP'!#REF!,201))</f>
        <v>#REF!</v>
      </c>
      <c r="H199" t="str">
        <f>IF(ISBLANK(INDEX('Milestone Tracker – IHP'!$G:$G,201)),"",INDEX('Milestone Tracker – IHP'!$G:$G,201))</f>
        <v/>
      </c>
      <c r="I199" t="str">
        <f>IF(ISBLANK(INDEX('Milestone Tracker – IHP'!$H:$H,201)),"",INDEX('Milestone Tracker – IHP'!$H:$H,201))</f>
        <v/>
      </c>
      <c r="J199" t="e">
        <f>IF(ISBLANK(INDEX('Milestone Tracker – IHP'!#REF!,201)),"",INDEX('Milestone Tracker – IHP'!#REF!,201))</f>
        <v>#REF!</v>
      </c>
      <c r="K199">
        <f t="shared" si="6"/>
        <v>0</v>
      </c>
      <c r="L199">
        <f t="shared" si="7"/>
        <v>0</v>
      </c>
    </row>
    <row r="200" spans="1:12" x14ac:dyDescent="0.35">
      <c r="A200">
        <v>202</v>
      </c>
      <c r="B200">
        <f>IF(ISBLANK(INDEX('Milestone Tracker – IHP'!$B:$B,202)),B199,INDEX('Milestone Tracker – IHP'!$B:$B,202))</f>
        <v>0</v>
      </c>
      <c r="C200">
        <f>IF(ISBLANK(INDEX('Milestone Tracker – IHP'!$C:$C,202)),C199,INDEX('Milestone Tracker – IHP'!$C:$C,202))</f>
        <v>0</v>
      </c>
      <c r="D200">
        <f>IF(ISBLANK(INDEX('Milestone Tracker – IHP'!$D:$D,202)),D199,INDEX('Milestone Tracker – IHP'!$D:$D,202))</f>
        <v>0</v>
      </c>
      <c r="E200" t="str">
        <f>IF(ISBLANK(INDEX('Milestone Tracker – IHP'!$E:$E,202)),"",INDEX('Milestone Tracker – IHP'!$E:$E,202))</f>
        <v/>
      </c>
      <c r="F200" t="str">
        <f>IF(ISBLANK(INDEX('Milestone Tracker – IHP'!$F:$F,202)),"",INDEX('Milestone Tracker – IHP'!$F:$F,202))</f>
        <v/>
      </c>
      <c r="G200" t="e">
        <f>IF(ISBLANK(INDEX('Milestone Tracker – IHP'!#REF!,202)),"",INDEX('Milestone Tracker – IHP'!#REF!,202))</f>
        <v>#REF!</v>
      </c>
      <c r="H200" t="str">
        <f>IF(ISBLANK(INDEX('Milestone Tracker – IHP'!$G:$G,202)),"",INDEX('Milestone Tracker – IHP'!$G:$G,202))</f>
        <v/>
      </c>
      <c r="I200" t="str">
        <f>IF(ISBLANK(INDEX('Milestone Tracker – IHP'!$H:$H,202)),"",INDEX('Milestone Tracker – IHP'!$H:$H,202))</f>
        <v/>
      </c>
      <c r="J200" t="e">
        <f>IF(ISBLANK(INDEX('Milestone Tracker – IHP'!#REF!,202)),"",INDEX('Milestone Tracker – IHP'!#REF!,202))</f>
        <v>#REF!</v>
      </c>
      <c r="K200">
        <f t="shared" si="6"/>
        <v>0</v>
      </c>
      <c r="L200">
        <f t="shared" si="7"/>
        <v>0</v>
      </c>
    </row>
    <row r="201" spans="1:12" x14ac:dyDescent="0.35">
      <c r="A201">
        <v>203</v>
      </c>
      <c r="B201">
        <f>IF(ISBLANK(INDEX('Milestone Tracker – IHP'!$B:$B,203)),B200,INDEX('Milestone Tracker – IHP'!$B:$B,203))</f>
        <v>0</v>
      </c>
      <c r="C201">
        <f>IF(ISBLANK(INDEX('Milestone Tracker – IHP'!$C:$C,203)),C200,INDEX('Milestone Tracker – IHP'!$C:$C,203))</f>
        <v>0</v>
      </c>
      <c r="D201">
        <f>IF(ISBLANK(INDEX('Milestone Tracker – IHP'!$D:$D,203)),D200,INDEX('Milestone Tracker – IHP'!$D:$D,203))</f>
        <v>0</v>
      </c>
      <c r="E201" t="str">
        <f>IF(ISBLANK(INDEX('Milestone Tracker – IHP'!$E:$E,203)),"",INDEX('Milestone Tracker – IHP'!$E:$E,203))</f>
        <v/>
      </c>
      <c r="F201" t="str">
        <f>IF(ISBLANK(INDEX('Milestone Tracker – IHP'!$F:$F,203)),"",INDEX('Milestone Tracker – IHP'!$F:$F,203))</f>
        <v/>
      </c>
      <c r="G201" t="e">
        <f>IF(ISBLANK(INDEX('Milestone Tracker – IHP'!#REF!,203)),"",INDEX('Milestone Tracker – IHP'!#REF!,203))</f>
        <v>#REF!</v>
      </c>
      <c r="H201" t="str">
        <f>IF(ISBLANK(INDEX('Milestone Tracker – IHP'!$G:$G,203)),"",INDEX('Milestone Tracker – IHP'!$G:$G,203))</f>
        <v/>
      </c>
      <c r="I201" t="str">
        <f>IF(ISBLANK(INDEX('Milestone Tracker – IHP'!$H:$H,203)),"",INDEX('Milestone Tracker – IHP'!$H:$H,203))</f>
        <v/>
      </c>
      <c r="J201" t="e">
        <f>IF(ISBLANK(INDEX('Milestone Tracker – IHP'!#REF!,203)),"",INDEX('Milestone Tracker – IHP'!#REF!,203))</f>
        <v>#REF!</v>
      </c>
      <c r="K201">
        <f t="shared" si="6"/>
        <v>0</v>
      </c>
      <c r="L201">
        <f t="shared" si="7"/>
        <v>0</v>
      </c>
    </row>
    <row r="202" spans="1:12" x14ac:dyDescent="0.35">
      <c r="A202">
        <v>204</v>
      </c>
      <c r="B202">
        <f>IF(ISBLANK(INDEX('Milestone Tracker – IHP'!$B:$B,204)),B201,INDEX('Milestone Tracker – IHP'!$B:$B,204))</f>
        <v>0</v>
      </c>
      <c r="C202">
        <f>IF(ISBLANK(INDEX('Milestone Tracker – IHP'!$C:$C,204)),C201,INDEX('Milestone Tracker – IHP'!$C:$C,204))</f>
        <v>0</v>
      </c>
      <c r="D202">
        <f>IF(ISBLANK(INDEX('Milestone Tracker – IHP'!$D:$D,204)),D201,INDEX('Milestone Tracker – IHP'!$D:$D,204))</f>
        <v>0</v>
      </c>
      <c r="E202" t="str">
        <f>IF(ISBLANK(INDEX('Milestone Tracker – IHP'!$E:$E,204)),"",INDEX('Milestone Tracker – IHP'!$E:$E,204))</f>
        <v/>
      </c>
      <c r="F202" t="str">
        <f>IF(ISBLANK(INDEX('Milestone Tracker – IHP'!$F:$F,204)),"",INDEX('Milestone Tracker – IHP'!$F:$F,204))</f>
        <v/>
      </c>
      <c r="G202" t="e">
        <f>IF(ISBLANK(INDEX('Milestone Tracker – IHP'!#REF!,204)),"",INDEX('Milestone Tracker – IHP'!#REF!,204))</f>
        <v>#REF!</v>
      </c>
      <c r="H202" t="str">
        <f>IF(ISBLANK(INDEX('Milestone Tracker – IHP'!$G:$G,204)),"",INDEX('Milestone Tracker – IHP'!$G:$G,204))</f>
        <v/>
      </c>
      <c r="I202" t="str">
        <f>IF(ISBLANK(INDEX('Milestone Tracker – IHP'!$H:$H,204)),"",INDEX('Milestone Tracker – IHP'!$H:$H,204))</f>
        <v/>
      </c>
      <c r="J202" t="e">
        <f>IF(ISBLANK(INDEX('Milestone Tracker – IHP'!#REF!,204)),"",INDEX('Milestone Tracker – IHP'!#REF!,204))</f>
        <v>#REF!</v>
      </c>
      <c r="K202">
        <f t="shared" si="6"/>
        <v>0</v>
      </c>
      <c r="L202">
        <f t="shared" si="7"/>
        <v>0</v>
      </c>
    </row>
    <row r="203" spans="1:12" x14ac:dyDescent="0.35">
      <c r="A203">
        <v>205</v>
      </c>
      <c r="B203">
        <f>IF(ISBLANK(INDEX('Milestone Tracker – IHP'!$B:$B,205)),B202,INDEX('Milestone Tracker – IHP'!$B:$B,205))</f>
        <v>0</v>
      </c>
      <c r="C203">
        <f>IF(ISBLANK(INDEX('Milestone Tracker – IHP'!$C:$C,205)),C202,INDEX('Milestone Tracker – IHP'!$C:$C,205))</f>
        <v>0</v>
      </c>
      <c r="D203">
        <f>IF(ISBLANK(INDEX('Milestone Tracker – IHP'!$D:$D,205)),D202,INDEX('Milestone Tracker – IHP'!$D:$D,205))</f>
        <v>0</v>
      </c>
      <c r="E203" t="str">
        <f>IF(ISBLANK(INDEX('Milestone Tracker – IHP'!$E:$E,205)),"",INDEX('Milestone Tracker – IHP'!$E:$E,205))</f>
        <v/>
      </c>
      <c r="F203" t="str">
        <f>IF(ISBLANK(INDEX('Milestone Tracker – IHP'!$F:$F,205)),"",INDEX('Milestone Tracker – IHP'!$F:$F,205))</f>
        <v/>
      </c>
      <c r="G203" t="e">
        <f>IF(ISBLANK(INDEX('Milestone Tracker – IHP'!#REF!,205)),"",INDEX('Milestone Tracker – IHP'!#REF!,205))</f>
        <v>#REF!</v>
      </c>
      <c r="H203" t="str">
        <f>IF(ISBLANK(INDEX('Milestone Tracker – IHP'!$G:$G,205)),"",INDEX('Milestone Tracker – IHP'!$G:$G,205))</f>
        <v/>
      </c>
      <c r="I203" t="str">
        <f>IF(ISBLANK(INDEX('Milestone Tracker – IHP'!$H:$H,205)),"",INDEX('Milestone Tracker – IHP'!$H:$H,205))</f>
        <v/>
      </c>
      <c r="J203" t="e">
        <f>IF(ISBLANK(INDEX('Milestone Tracker – IHP'!#REF!,205)),"",INDEX('Milestone Tracker – IHP'!#REF!,205))</f>
        <v>#REF!</v>
      </c>
      <c r="K203">
        <f t="shared" si="6"/>
        <v>0</v>
      </c>
      <c r="L203">
        <f t="shared" si="7"/>
        <v>0</v>
      </c>
    </row>
    <row r="204" spans="1:12" x14ac:dyDescent="0.35">
      <c r="A204">
        <v>206</v>
      </c>
      <c r="B204">
        <f>IF(ISBLANK(INDEX('Milestone Tracker – IHP'!$B:$B,206)),B203,INDEX('Milestone Tracker – IHP'!$B:$B,206))</f>
        <v>0</v>
      </c>
      <c r="C204">
        <f>IF(ISBLANK(INDEX('Milestone Tracker – IHP'!$C:$C,206)),C203,INDEX('Milestone Tracker – IHP'!$C:$C,206))</f>
        <v>0</v>
      </c>
      <c r="D204">
        <f>IF(ISBLANK(INDEX('Milestone Tracker – IHP'!$D:$D,206)),D203,INDEX('Milestone Tracker – IHP'!$D:$D,206))</f>
        <v>0</v>
      </c>
      <c r="E204" t="str">
        <f>IF(ISBLANK(INDEX('Milestone Tracker – IHP'!$E:$E,206)),"",INDEX('Milestone Tracker – IHP'!$E:$E,206))</f>
        <v/>
      </c>
      <c r="F204" t="str">
        <f>IF(ISBLANK(INDEX('Milestone Tracker – IHP'!$F:$F,206)),"",INDEX('Milestone Tracker – IHP'!$F:$F,206))</f>
        <v/>
      </c>
      <c r="G204" t="e">
        <f>IF(ISBLANK(INDEX('Milestone Tracker – IHP'!#REF!,206)),"",INDEX('Milestone Tracker – IHP'!#REF!,206))</f>
        <v>#REF!</v>
      </c>
      <c r="H204" t="str">
        <f>IF(ISBLANK(INDEX('Milestone Tracker – IHP'!$G:$G,206)),"",INDEX('Milestone Tracker – IHP'!$G:$G,206))</f>
        <v/>
      </c>
      <c r="I204" t="str">
        <f>IF(ISBLANK(INDEX('Milestone Tracker – IHP'!$H:$H,206)),"",INDEX('Milestone Tracker – IHP'!$H:$H,206))</f>
        <v/>
      </c>
      <c r="J204" t="e">
        <f>IF(ISBLANK(INDEX('Milestone Tracker – IHP'!#REF!,206)),"",INDEX('Milestone Tracker – IHP'!#REF!,206))</f>
        <v>#REF!</v>
      </c>
      <c r="K204">
        <f t="shared" si="6"/>
        <v>0</v>
      </c>
      <c r="L204">
        <f t="shared" si="7"/>
        <v>0</v>
      </c>
    </row>
    <row r="205" spans="1:12" x14ac:dyDescent="0.35">
      <c r="A205">
        <v>207</v>
      </c>
      <c r="B205">
        <f>IF(ISBLANK(INDEX('Milestone Tracker – IHP'!$B:$B,207)),B204,INDEX('Milestone Tracker – IHP'!$B:$B,207))</f>
        <v>0</v>
      </c>
      <c r="C205">
        <f>IF(ISBLANK(INDEX('Milestone Tracker – IHP'!$C:$C,207)),C204,INDEX('Milestone Tracker – IHP'!$C:$C,207))</f>
        <v>0</v>
      </c>
      <c r="D205">
        <f>IF(ISBLANK(INDEX('Milestone Tracker – IHP'!$D:$D,207)),D204,INDEX('Milestone Tracker – IHP'!$D:$D,207))</f>
        <v>0</v>
      </c>
      <c r="E205" t="str">
        <f>IF(ISBLANK(INDEX('Milestone Tracker – IHP'!$E:$E,207)),"",INDEX('Milestone Tracker – IHP'!$E:$E,207))</f>
        <v/>
      </c>
      <c r="F205" t="str">
        <f>IF(ISBLANK(INDEX('Milestone Tracker – IHP'!$F:$F,207)),"",INDEX('Milestone Tracker – IHP'!$F:$F,207))</f>
        <v/>
      </c>
      <c r="G205" t="e">
        <f>IF(ISBLANK(INDEX('Milestone Tracker – IHP'!#REF!,207)),"",INDEX('Milestone Tracker – IHP'!#REF!,207))</f>
        <v>#REF!</v>
      </c>
      <c r="H205" t="str">
        <f>IF(ISBLANK(INDEX('Milestone Tracker – IHP'!$G:$G,207)),"",INDEX('Milestone Tracker – IHP'!$G:$G,207))</f>
        <v/>
      </c>
      <c r="I205" t="str">
        <f>IF(ISBLANK(INDEX('Milestone Tracker – IHP'!$H:$H,207)),"",INDEX('Milestone Tracker – IHP'!$H:$H,207))</f>
        <v/>
      </c>
      <c r="J205" t="e">
        <f>IF(ISBLANK(INDEX('Milestone Tracker – IHP'!#REF!,207)),"",INDEX('Milestone Tracker – IHP'!#REF!,207))</f>
        <v>#REF!</v>
      </c>
      <c r="K205">
        <f t="shared" si="6"/>
        <v>0</v>
      </c>
      <c r="L205">
        <f t="shared" si="7"/>
        <v>0</v>
      </c>
    </row>
    <row r="206" spans="1:12" x14ac:dyDescent="0.35">
      <c r="A206">
        <v>208</v>
      </c>
      <c r="B206">
        <f>IF(ISBLANK(INDEX('Milestone Tracker – IHP'!$B:$B,208)),B205,INDEX('Milestone Tracker – IHP'!$B:$B,208))</f>
        <v>0</v>
      </c>
      <c r="C206">
        <f>IF(ISBLANK(INDEX('Milestone Tracker – IHP'!$C:$C,208)),C205,INDEX('Milestone Tracker – IHP'!$C:$C,208))</f>
        <v>0</v>
      </c>
      <c r="D206">
        <f>IF(ISBLANK(INDEX('Milestone Tracker – IHP'!$D:$D,208)),D205,INDEX('Milestone Tracker – IHP'!$D:$D,208))</f>
        <v>0</v>
      </c>
      <c r="E206" t="str">
        <f>IF(ISBLANK(INDEX('Milestone Tracker – IHP'!$E:$E,208)),"",INDEX('Milestone Tracker – IHP'!$E:$E,208))</f>
        <v/>
      </c>
      <c r="F206" t="str">
        <f>IF(ISBLANK(INDEX('Milestone Tracker – IHP'!$F:$F,208)),"",INDEX('Milestone Tracker – IHP'!$F:$F,208))</f>
        <v/>
      </c>
      <c r="G206" t="e">
        <f>IF(ISBLANK(INDEX('Milestone Tracker – IHP'!#REF!,208)),"",INDEX('Milestone Tracker – IHP'!#REF!,208))</f>
        <v>#REF!</v>
      </c>
      <c r="H206" t="str">
        <f>IF(ISBLANK(INDEX('Milestone Tracker – IHP'!$G:$G,208)),"",INDEX('Milestone Tracker – IHP'!$G:$G,208))</f>
        <v/>
      </c>
      <c r="I206" t="str">
        <f>IF(ISBLANK(INDEX('Milestone Tracker – IHP'!$H:$H,208)),"",INDEX('Milestone Tracker – IHP'!$H:$H,208))</f>
        <v/>
      </c>
      <c r="J206" t="e">
        <f>IF(ISBLANK(INDEX('Milestone Tracker – IHP'!#REF!,208)),"",INDEX('Milestone Tracker – IHP'!#REF!,208))</f>
        <v>#REF!</v>
      </c>
      <c r="K206">
        <f t="shared" si="6"/>
        <v>0</v>
      </c>
      <c r="L206">
        <f t="shared" si="7"/>
        <v>0</v>
      </c>
    </row>
    <row r="207" spans="1:12" x14ac:dyDescent="0.35">
      <c r="A207">
        <v>209</v>
      </c>
      <c r="B207">
        <f>IF(ISBLANK(INDEX('Milestone Tracker – IHP'!$B:$B,209)),B206,INDEX('Milestone Tracker – IHP'!$B:$B,209))</f>
        <v>0</v>
      </c>
      <c r="C207">
        <f>IF(ISBLANK(INDEX('Milestone Tracker – IHP'!$C:$C,209)),C206,INDEX('Milestone Tracker – IHP'!$C:$C,209))</f>
        <v>0</v>
      </c>
      <c r="D207">
        <f>IF(ISBLANK(INDEX('Milestone Tracker – IHP'!$D:$D,209)),D206,INDEX('Milestone Tracker – IHP'!$D:$D,209))</f>
        <v>0</v>
      </c>
      <c r="E207" t="str">
        <f>IF(ISBLANK(INDEX('Milestone Tracker – IHP'!$E:$E,209)),"",INDEX('Milestone Tracker – IHP'!$E:$E,209))</f>
        <v/>
      </c>
      <c r="F207" t="str">
        <f>IF(ISBLANK(INDEX('Milestone Tracker – IHP'!$F:$F,209)),"",INDEX('Milestone Tracker – IHP'!$F:$F,209))</f>
        <v/>
      </c>
      <c r="G207" t="e">
        <f>IF(ISBLANK(INDEX('Milestone Tracker – IHP'!#REF!,209)),"",INDEX('Milestone Tracker – IHP'!#REF!,209))</f>
        <v>#REF!</v>
      </c>
      <c r="H207" t="str">
        <f>IF(ISBLANK(INDEX('Milestone Tracker – IHP'!$G:$G,209)),"",INDEX('Milestone Tracker – IHP'!$G:$G,209))</f>
        <v/>
      </c>
      <c r="I207" t="str">
        <f>IF(ISBLANK(INDEX('Milestone Tracker – IHP'!$H:$H,209)),"",INDEX('Milestone Tracker – IHP'!$H:$H,209))</f>
        <v/>
      </c>
      <c r="J207" t="e">
        <f>IF(ISBLANK(INDEX('Milestone Tracker – IHP'!#REF!,209)),"",INDEX('Milestone Tracker – IHP'!#REF!,209))</f>
        <v>#REF!</v>
      </c>
      <c r="K207">
        <f t="shared" si="6"/>
        <v>0</v>
      </c>
      <c r="L207">
        <f t="shared" si="7"/>
        <v>0</v>
      </c>
    </row>
    <row r="208" spans="1:12" x14ac:dyDescent="0.35">
      <c r="A208">
        <v>210</v>
      </c>
      <c r="B208">
        <f>IF(ISBLANK(INDEX('Milestone Tracker – IHP'!$B:$B,210)),B207,INDEX('Milestone Tracker – IHP'!$B:$B,210))</f>
        <v>0</v>
      </c>
      <c r="C208">
        <f>IF(ISBLANK(INDEX('Milestone Tracker – IHP'!$C:$C,210)),C207,INDEX('Milestone Tracker – IHP'!$C:$C,210))</f>
        <v>0</v>
      </c>
      <c r="D208">
        <f>IF(ISBLANK(INDEX('Milestone Tracker – IHP'!$D:$D,210)),D207,INDEX('Milestone Tracker – IHP'!$D:$D,210))</f>
        <v>0</v>
      </c>
      <c r="E208" t="str">
        <f>IF(ISBLANK(INDEX('Milestone Tracker – IHP'!$E:$E,210)),"",INDEX('Milestone Tracker – IHP'!$E:$E,210))</f>
        <v/>
      </c>
      <c r="F208" t="str">
        <f>IF(ISBLANK(INDEX('Milestone Tracker – IHP'!$F:$F,210)),"",INDEX('Milestone Tracker – IHP'!$F:$F,210))</f>
        <v/>
      </c>
      <c r="G208" t="e">
        <f>IF(ISBLANK(INDEX('Milestone Tracker – IHP'!#REF!,210)),"",INDEX('Milestone Tracker – IHP'!#REF!,210))</f>
        <v>#REF!</v>
      </c>
      <c r="H208" t="str">
        <f>IF(ISBLANK(INDEX('Milestone Tracker – IHP'!$G:$G,210)),"",INDEX('Milestone Tracker – IHP'!$G:$G,210))</f>
        <v/>
      </c>
      <c r="I208" t="str">
        <f>IF(ISBLANK(INDEX('Milestone Tracker – IHP'!$H:$H,210)),"",INDEX('Milestone Tracker – IHP'!$H:$H,210))</f>
        <v/>
      </c>
      <c r="J208" t="e">
        <f>IF(ISBLANK(INDEX('Milestone Tracker – IHP'!#REF!,210)),"",INDEX('Milestone Tracker – IHP'!#REF!,210))</f>
        <v>#REF!</v>
      </c>
      <c r="K208">
        <f t="shared" si="6"/>
        <v>0</v>
      </c>
      <c r="L208">
        <f t="shared" si="7"/>
        <v>0</v>
      </c>
    </row>
    <row r="209" spans="1:12" x14ac:dyDescent="0.35">
      <c r="A209">
        <v>211</v>
      </c>
      <c r="B209">
        <f>IF(ISBLANK(INDEX('Milestone Tracker – IHP'!$B:$B,211)),B208,INDEX('Milestone Tracker – IHP'!$B:$B,211))</f>
        <v>0</v>
      </c>
      <c r="C209">
        <f>IF(ISBLANK(INDEX('Milestone Tracker – IHP'!$C:$C,211)),C208,INDEX('Milestone Tracker – IHP'!$C:$C,211))</f>
        <v>0</v>
      </c>
      <c r="D209">
        <f>IF(ISBLANK(INDEX('Milestone Tracker – IHP'!$D:$D,211)),D208,INDEX('Milestone Tracker – IHP'!$D:$D,211))</f>
        <v>0</v>
      </c>
      <c r="E209" t="str">
        <f>IF(ISBLANK(INDEX('Milestone Tracker – IHP'!$E:$E,211)),"",INDEX('Milestone Tracker – IHP'!$E:$E,211))</f>
        <v/>
      </c>
      <c r="F209" t="str">
        <f>IF(ISBLANK(INDEX('Milestone Tracker – IHP'!$F:$F,211)),"",INDEX('Milestone Tracker – IHP'!$F:$F,211))</f>
        <v/>
      </c>
      <c r="G209" t="e">
        <f>IF(ISBLANK(INDEX('Milestone Tracker – IHP'!#REF!,211)),"",INDEX('Milestone Tracker – IHP'!#REF!,211))</f>
        <v>#REF!</v>
      </c>
      <c r="H209" t="str">
        <f>IF(ISBLANK(INDEX('Milestone Tracker – IHP'!$G:$G,211)),"",INDEX('Milestone Tracker – IHP'!$G:$G,211))</f>
        <v/>
      </c>
      <c r="I209" t="str">
        <f>IF(ISBLANK(INDEX('Milestone Tracker – IHP'!$H:$H,211)),"",INDEX('Milestone Tracker – IHP'!$H:$H,211))</f>
        <v/>
      </c>
      <c r="J209" t="e">
        <f>IF(ISBLANK(INDEX('Milestone Tracker – IHP'!#REF!,211)),"",INDEX('Milestone Tracker – IHP'!#REF!,211))</f>
        <v>#REF!</v>
      </c>
      <c r="K209">
        <f t="shared" si="6"/>
        <v>0</v>
      </c>
      <c r="L209">
        <f t="shared" si="7"/>
        <v>0</v>
      </c>
    </row>
    <row r="210" spans="1:12" x14ac:dyDescent="0.35">
      <c r="A210">
        <v>212</v>
      </c>
      <c r="B210">
        <f>IF(ISBLANK(INDEX('Milestone Tracker – IHP'!$B:$B,212)),B209,INDEX('Milestone Tracker – IHP'!$B:$B,212))</f>
        <v>0</v>
      </c>
      <c r="C210">
        <f>IF(ISBLANK(INDEX('Milestone Tracker – IHP'!$C:$C,212)),C209,INDEX('Milestone Tracker – IHP'!$C:$C,212))</f>
        <v>0</v>
      </c>
      <c r="D210">
        <f>IF(ISBLANK(INDEX('Milestone Tracker – IHP'!$D:$D,212)),D209,INDEX('Milestone Tracker – IHP'!$D:$D,212))</f>
        <v>0</v>
      </c>
      <c r="E210" t="str">
        <f>IF(ISBLANK(INDEX('Milestone Tracker – IHP'!$E:$E,212)),"",INDEX('Milestone Tracker – IHP'!$E:$E,212))</f>
        <v/>
      </c>
      <c r="F210" t="str">
        <f>IF(ISBLANK(INDEX('Milestone Tracker – IHP'!$F:$F,212)),"",INDEX('Milestone Tracker – IHP'!$F:$F,212))</f>
        <v/>
      </c>
      <c r="G210" t="e">
        <f>IF(ISBLANK(INDEX('Milestone Tracker – IHP'!#REF!,212)),"",INDEX('Milestone Tracker – IHP'!#REF!,212))</f>
        <v>#REF!</v>
      </c>
      <c r="H210" t="str">
        <f>IF(ISBLANK(INDEX('Milestone Tracker – IHP'!$G:$G,212)),"",INDEX('Milestone Tracker – IHP'!$G:$G,212))</f>
        <v/>
      </c>
      <c r="I210" t="str">
        <f>IF(ISBLANK(INDEX('Milestone Tracker – IHP'!$H:$H,212)),"",INDEX('Milestone Tracker – IHP'!$H:$H,212))</f>
        <v/>
      </c>
      <c r="J210" t="e">
        <f>IF(ISBLANK(INDEX('Milestone Tracker – IHP'!#REF!,212)),"",INDEX('Milestone Tracker – IHP'!#REF!,212))</f>
        <v>#REF!</v>
      </c>
      <c r="K210">
        <f t="shared" si="6"/>
        <v>0</v>
      </c>
      <c r="L210">
        <f t="shared" si="7"/>
        <v>0</v>
      </c>
    </row>
    <row r="211" spans="1:12" x14ac:dyDescent="0.35">
      <c r="A211">
        <v>213</v>
      </c>
      <c r="B211">
        <f>IF(ISBLANK(INDEX('Milestone Tracker – IHP'!$B:$B,213)),B210,INDEX('Milestone Tracker – IHP'!$B:$B,213))</f>
        <v>0</v>
      </c>
      <c r="C211">
        <f>IF(ISBLANK(INDEX('Milestone Tracker – IHP'!$C:$C,213)),C210,INDEX('Milestone Tracker – IHP'!$C:$C,213))</f>
        <v>0</v>
      </c>
      <c r="D211">
        <f>IF(ISBLANK(INDEX('Milestone Tracker – IHP'!$D:$D,213)),D210,INDEX('Milestone Tracker – IHP'!$D:$D,213))</f>
        <v>0</v>
      </c>
      <c r="E211" t="str">
        <f>IF(ISBLANK(INDEX('Milestone Tracker – IHP'!$E:$E,213)),"",INDEX('Milestone Tracker – IHP'!$E:$E,213))</f>
        <v/>
      </c>
      <c r="F211" t="str">
        <f>IF(ISBLANK(INDEX('Milestone Tracker – IHP'!$F:$F,213)),"",INDEX('Milestone Tracker – IHP'!$F:$F,213))</f>
        <v/>
      </c>
      <c r="G211" t="e">
        <f>IF(ISBLANK(INDEX('Milestone Tracker – IHP'!#REF!,213)),"",INDEX('Milestone Tracker – IHP'!#REF!,213))</f>
        <v>#REF!</v>
      </c>
      <c r="H211" t="str">
        <f>IF(ISBLANK(INDEX('Milestone Tracker – IHP'!$G:$G,213)),"",INDEX('Milestone Tracker – IHP'!$G:$G,213))</f>
        <v/>
      </c>
      <c r="I211" t="str">
        <f>IF(ISBLANK(INDEX('Milestone Tracker – IHP'!$H:$H,213)),"",INDEX('Milestone Tracker – IHP'!$H:$H,213))</f>
        <v/>
      </c>
      <c r="J211" t="e">
        <f>IF(ISBLANK(INDEX('Milestone Tracker – IHP'!#REF!,213)),"",INDEX('Milestone Tracker – IHP'!#REF!,213))</f>
        <v>#REF!</v>
      </c>
      <c r="K211">
        <f t="shared" si="6"/>
        <v>0</v>
      </c>
      <c r="L211">
        <f t="shared" si="7"/>
        <v>0</v>
      </c>
    </row>
    <row r="212" spans="1:12" x14ac:dyDescent="0.35">
      <c r="A212">
        <v>214</v>
      </c>
      <c r="B212">
        <f>IF(ISBLANK(INDEX('Milestone Tracker – IHP'!$B:$B,214)),B211,INDEX('Milestone Tracker – IHP'!$B:$B,214))</f>
        <v>0</v>
      </c>
      <c r="C212">
        <f>IF(ISBLANK(INDEX('Milestone Tracker – IHP'!$C:$C,214)),C211,INDEX('Milestone Tracker – IHP'!$C:$C,214))</f>
        <v>0</v>
      </c>
      <c r="D212">
        <f>IF(ISBLANK(INDEX('Milestone Tracker – IHP'!$D:$D,214)),D211,INDEX('Milestone Tracker – IHP'!$D:$D,214))</f>
        <v>0</v>
      </c>
      <c r="E212" t="str">
        <f>IF(ISBLANK(INDEX('Milestone Tracker – IHP'!$E:$E,214)),"",INDEX('Milestone Tracker – IHP'!$E:$E,214))</f>
        <v/>
      </c>
      <c r="F212" t="str">
        <f>IF(ISBLANK(INDEX('Milestone Tracker – IHP'!$F:$F,214)),"",INDEX('Milestone Tracker – IHP'!$F:$F,214))</f>
        <v/>
      </c>
      <c r="G212" t="e">
        <f>IF(ISBLANK(INDEX('Milestone Tracker – IHP'!#REF!,214)),"",INDEX('Milestone Tracker – IHP'!#REF!,214))</f>
        <v>#REF!</v>
      </c>
      <c r="H212" t="str">
        <f>IF(ISBLANK(INDEX('Milestone Tracker – IHP'!$G:$G,214)),"",INDEX('Milestone Tracker – IHP'!$G:$G,214))</f>
        <v/>
      </c>
      <c r="I212" t="str">
        <f>IF(ISBLANK(INDEX('Milestone Tracker – IHP'!$H:$H,214)),"",INDEX('Milestone Tracker – IHP'!$H:$H,214))</f>
        <v/>
      </c>
      <c r="J212" t="e">
        <f>IF(ISBLANK(INDEX('Milestone Tracker – IHP'!#REF!,214)),"",INDEX('Milestone Tracker – IHP'!#REF!,214))</f>
        <v>#REF!</v>
      </c>
      <c r="K212">
        <f t="shared" si="6"/>
        <v>0</v>
      </c>
      <c r="L212">
        <f t="shared" si="7"/>
        <v>0</v>
      </c>
    </row>
    <row r="213" spans="1:12" x14ac:dyDescent="0.35">
      <c r="A213">
        <v>215</v>
      </c>
      <c r="B213">
        <f>IF(ISBLANK(INDEX('Milestone Tracker – IHP'!$B:$B,215)),B212,INDEX('Milestone Tracker – IHP'!$B:$B,215))</f>
        <v>0</v>
      </c>
      <c r="C213">
        <f>IF(ISBLANK(INDEX('Milestone Tracker – IHP'!$C:$C,215)),C212,INDEX('Milestone Tracker – IHP'!$C:$C,215))</f>
        <v>0</v>
      </c>
      <c r="D213">
        <f>IF(ISBLANK(INDEX('Milestone Tracker – IHP'!$D:$D,215)),D212,INDEX('Milestone Tracker – IHP'!$D:$D,215))</f>
        <v>0</v>
      </c>
      <c r="E213" t="str">
        <f>IF(ISBLANK(INDEX('Milestone Tracker – IHP'!$E:$E,215)),"",INDEX('Milestone Tracker – IHP'!$E:$E,215))</f>
        <v/>
      </c>
      <c r="F213" t="str">
        <f>IF(ISBLANK(INDEX('Milestone Tracker – IHP'!$F:$F,215)),"",INDEX('Milestone Tracker – IHP'!$F:$F,215))</f>
        <v/>
      </c>
      <c r="G213" t="e">
        <f>IF(ISBLANK(INDEX('Milestone Tracker – IHP'!#REF!,215)),"",INDEX('Milestone Tracker – IHP'!#REF!,215))</f>
        <v>#REF!</v>
      </c>
      <c r="H213" t="str">
        <f>IF(ISBLANK(INDEX('Milestone Tracker – IHP'!$G:$G,215)),"",INDEX('Milestone Tracker – IHP'!$G:$G,215))</f>
        <v/>
      </c>
      <c r="I213" t="str">
        <f>IF(ISBLANK(INDEX('Milestone Tracker – IHP'!$H:$H,215)),"",INDEX('Milestone Tracker – IHP'!$H:$H,215))</f>
        <v/>
      </c>
      <c r="J213" t="e">
        <f>IF(ISBLANK(INDEX('Milestone Tracker – IHP'!#REF!,215)),"",INDEX('Milestone Tracker – IHP'!#REF!,215))</f>
        <v>#REF!</v>
      </c>
      <c r="K213">
        <f t="shared" si="6"/>
        <v>0</v>
      </c>
      <c r="L213">
        <f t="shared" si="7"/>
        <v>0</v>
      </c>
    </row>
    <row r="214" spans="1:12" x14ac:dyDescent="0.35">
      <c r="A214">
        <v>216</v>
      </c>
      <c r="B214">
        <f>IF(ISBLANK(INDEX('Milestone Tracker – IHP'!$B:$B,216)),B213,INDEX('Milestone Tracker – IHP'!$B:$B,216))</f>
        <v>0</v>
      </c>
      <c r="C214">
        <f>IF(ISBLANK(INDEX('Milestone Tracker – IHP'!$C:$C,216)),C213,INDEX('Milestone Tracker – IHP'!$C:$C,216))</f>
        <v>0</v>
      </c>
      <c r="D214">
        <f>IF(ISBLANK(INDEX('Milestone Tracker – IHP'!$D:$D,216)),D213,INDEX('Milestone Tracker – IHP'!$D:$D,216))</f>
        <v>0</v>
      </c>
      <c r="E214" t="str">
        <f>IF(ISBLANK(INDEX('Milestone Tracker – IHP'!$E:$E,216)),"",INDEX('Milestone Tracker – IHP'!$E:$E,216))</f>
        <v/>
      </c>
      <c r="F214" t="str">
        <f>IF(ISBLANK(INDEX('Milestone Tracker – IHP'!$F:$F,216)),"",INDEX('Milestone Tracker – IHP'!$F:$F,216))</f>
        <v/>
      </c>
      <c r="G214" t="e">
        <f>IF(ISBLANK(INDEX('Milestone Tracker – IHP'!#REF!,216)),"",INDEX('Milestone Tracker – IHP'!#REF!,216))</f>
        <v>#REF!</v>
      </c>
      <c r="H214" t="str">
        <f>IF(ISBLANK(INDEX('Milestone Tracker – IHP'!$G:$G,216)),"",INDEX('Milestone Tracker – IHP'!$G:$G,216))</f>
        <v/>
      </c>
      <c r="I214" t="str">
        <f>IF(ISBLANK(INDEX('Milestone Tracker – IHP'!$H:$H,216)),"",INDEX('Milestone Tracker – IHP'!$H:$H,216))</f>
        <v/>
      </c>
      <c r="J214" t="e">
        <f>IF(ISBLANK(INDEX('Milestone Tracker – IHP'!#REF!,216)),"",INDEX('Milestone Tracker – IHP'!#REF!,216))</f>
        <v>#REF!</v>
      </c>
      <c r="K214">
        <f t="shared" si="6"/>
        <v>0</v>
      </c>
      <c r="L214">
        <f t="shared" si="7"/>
        <v>0</v>
      </c>
    </row>
    <row r="215" spans="1:12" x14ac:dyDescent="0.35">
      <c r="A215">
        <v>217</v>
      </c>
      <c r="B215">
        <f>IF(ISBLANK(INDEX('Milestone Tracker – IHP'!$B:$B,217)),B214,INDEX('Milestone Tracker – IHP'!$B:$B,217))</f>
        <v>0</v>
      </c>
      <c r="C215">
        <f>IF(ISBLANK(INDEX('Milestone Tracker – IHP'!$C:$C,217)),C214,INDEX('Milestone Tracker – IHP'!$C:$C,217))</f>
        <v>0</v>
      </c>
      <c r="D215">
        <f>IF(ISBLANK(INDEX('Milestone Tracker – IHP'!$D:$D,217)),D214,INDEX('Milestone Tracker – IHP'!$D:$D,217))</f>
        <v>0</v>
      </c>
      <c r="E215" t="str">
        <f>IF(ISBLANK(INDEX('Milestone Tracker – IHP'!$E:$E,217)),"",INDEX('Milestone Tracker – IHP'!$E:$E,217))</f>
        <v/>
      </c>
      <c r="F215" t="str">
        <f>IF(ISBLANK(INDEX('Milestone Tracker – IHP'!$F:$F,217)),"",INDEX('Milestone Tracker – IHP'!$F:$F,217))</f>
        <v/>
      </c>
      <c r="G215" t="e">
        <f>IF(ISBLANK(INDEX('Milestone Tracker – IHP'!#REF!,217)),"",INDEX('Milestone Tracker – IHP'!#REF!,217))</f>
        <v>#REF!</v>
      </c>
      <c r="H215" t="str">
        <f>IF(ISBLANK(INDEX('Milestone Tracker – IHP'!$G:$G,217)),"",INDEX('Milestone Tracker – IHP'!$G:$G,217))</f>
        <v/>
      </c>
      <c r="I215" t="str">
        <f>IF(ISBLANK(INDEX('Milestone Tracker – IHP'!$H:$H,217)),"",INDEX('Milestone Tracker – IHP'!$H:$H,217))</f>
        <v/>
      </c>
      <c r="J215" t="e">
        <f>IF(ISBLANK(INDEX('Milestone Tracker – IHP'!#REF!,217)),"",INDEX('Milestone Tracker – IHP'!#REF!,217))</f>
        <v>#REF!</v>
      </c>
      <c r="K215">
        <f t="shared" si="6"/>
        <v>0</v>
      </c>
      <c r="L215">
        <f t="shared" si="7"/>
        <v>0</v>
      </c>
    </row>
    <row r="216" spans="1:12" x14ac:dyDescent="0.35">
      <c r="A216">
        <v>218</v>
      </c>
      <c r="B216">
        <f>IF(ISBLANK(INDEX('Milestone Tracker – IHP'!$B:$B,218)),B215,INDEX('Milestone Tracker – IHP'!$B:$B,218))</f>
        <v>0</v>
      </c>
      <c r="C216">
        <f>IF(ISBLANK(INDEX('Milestone Tracker – IHP'!$C:$C,218)),C215,INDEX('Milestone Tracker – IHP'!$C:$C,218))</f>
        <v>0</v>
      </c>
      <c r="D216">
        <f>IF(ISBLANK(INDEX('Milestone Tracker – IHP'!$D:$D,218)),D215,INDEX('Milestone Tracker – IHP'!$D:$D,218))</f>
        <v>0</v>
      </c>
      <c r="E216" t="str">
        <f>IF(ISBLANK(INDEX('Milestone Tracker – IHP'!$E:$E,218)),"",INDEX('Milestone Tracker – IHP'!$E:$E,218))</f>
        <v/>
      </c>
      <c r="F216" t="str">
        <f>IF(ISBLANK(INDEX('Milestone Tracker – IHP'!$F:$F,218)),"",INDEX('Milestone Tracker – IHP'!$F:$F,218))</f>
        <v/>
      </c>
      <c r="G216" t="e">
        <f>IF(ISBLANK(INDEX('Milestone Tracker – IHP'!#REF!,218)),"",INDEX('Milestone Tracker – IHP'!#REF!,218))</f>
        <v>#REF!</v>
      </c>
      <c r="H216" t="str">
        <f>IF(ISBLANK(INDEX('Milestone Tracker – IHP'!$G:$G,218)),"",INDEX('Milestone Tracker – IHP'!$G:$G,218))</f>
        <v/>
      </c>
      <c r="I216" t="str">
        <f>IF(ISBLANK(INDEX('Milestone Tracker – IHP'!$H:$H,218)),"",INDEX('Milestone Tracker – IHP'!$H:$H,218))</f>
        <v/>
      </c>
      <c r="J216" t="e">
        <f>IF(ISBLANK(INDEX('Milestone Tracker – IHP'!#REF!,218)),"",INDEX('Milestone Tracker – IHP'!#REF!,218))</f>
        <v>#REF!</v>
      </c>
      <c r="K216">
        <f t="shared" si="6"/>
        <v>0</v>
      </c>
      <c r="L216">
        <f t="shared" si="7"/>
        <v>0</v>
      </c>
    </row>
    <row r="217" spans="1:12" x14ac:dyDescent="0.35">
      <c r="A217">
        <v>219</v>
      </c>
      <c r="B217">
        <f>IF(ISBLANK(INDEX('Milestone Tracker – IHP'!$B:$B,219)),B216,INDEX('Milestone Tracker – IHP'!$B:$B,219))</f>
        <v>0</v>
      </c>
      <c r="C217">
        <f>IF(ISBLANK(INDEX('Milestone Tracker – IHP'!$C:$C,219)),C216,INDEX('Milestone Tracker – IHP'!$C:$C,219))</f>
        <v>0</v>
      </c>
      <c r="D217">
        <f>IF(ISBLANK(INDEX('Milestone Tracker – IHP'!$D:$D,219)),D216,INDEX('Milestone Tracker – IHP'!$D:$D,219))</f>
        <v>0</v>
      </c>
      <c r="E217" t="str">
        <f>IF(ISBLANK(INDEX('Milestone Tracker – IHP'!$E:$E,219)),"",INDEX('Milestone Tracker – IHP'!$E:$E,219))</f>
        <v/>
      </c>
      <c r="F217" t="str">
        <f>IF(ISBLANK(INDEX('Milestone Tracker – IHP'!$F:$F,219)),"",INDEX('Milestone Tracker – IHP'!$F:$F,219))</f>
        <v/>
      </c>
      <c r="G217" t="e">
        <f>IF(ISBLANK(INDEX('Milestone Tracker – IHP'!#REF!,219)),"",INDEX('Milestone Tracker – IHP'!#REF!,219))</f>
        <v>#REF!</v>
      </c>
      <c r="H217" t="str">
        <f>IF(ISBLANK(INDEX('Milestone Tracker – IHP'!$G:$G,219)),"",INDEX('Milestone Tracker – IHP'!$G:$G,219))</f>
        <v/>
      </c>
      <c r="I217" t="str">
        <f>IF(ISBLANK(INDEX('Milestone Tracker – IHP'!$H:$H,219)),"",INDEX('Milestone Tracker – IHP'!$H:$H,219))</f>
        <v/>
      </c>
      <c r="J217" t="e">
        <f>IF(ISBLANK(INDEX('Milestone Tracker – IHP'!#REF!,219)),"",INDEX('Milestone Tracker – IHP'!#REF!,219))</f>
        <v>#REF!</v>
      </c>
      <c r="K217">
        <f t="shared" si="6"/>
        <v>0</v>
      </c>
      <c r="L217">
        <f t="shared" si="7"/>
        <v>0</v>
      </c>
    </row>
    <row r="218" spans="1:12" x14ac:dyDescent="0.35">
      <c r="A218">
        <v>220</v>
      </c>
      <c r="B218">
        <f>IF(ISBLANK(INDEX('Milestone Tracker – IHP'!$B:$B,220)),B217,INDEX('Milestone Tracker – IHP'!$B:$B,220))</f>
        <v>0</v>
      </c>
      <c r="C218">
        <f>IF(ISBLANK(INDEX('Milestone Tracker – IHP'!$C:$C,220)),C217,INDEX('Milestone Tracker – IHP'!$C:$C,220))</f>
        <v>0</v>
      </c>
      <c r="D218">
        <f>IF(ISBLANK(INDEX('Milestone Tracker – IHP'!$D:$D,220)),D217,INDEX('Milestone Tracker – IHP'!$D:$D,220))</f>
        <v>0</v>
      </c>
      <c r="E218" t="str">
        <f>IF(ISBLANK(INDEX('Milestone Tracker – IHP'!$E:$E,220)),"",INDEX('Milestone Tracker – IHP'!$E:$E,220))</f>
        <v/>
      </c>
      <c r="F218" t="str">
        <f>IF(ISBLANK(INDEX('Milestone Tracker – IHP'!$F:$F,220)),"",INDEX('Milestone Tracker – IHP'!$F:$F,220))</f>
        <v/>
      </c>
      <c r="G218" t="e">
        <f>IF(ISBLANK(INDEX('Milestone Tracker – IHP'!#REF!,220)),"",INDEX('Milestone Tracker – IHP'!#REF!,220))</f>
        <v>#REF!</v>
      </c>
      <c r="H218" t="str">
        <f>IF(ISBLANK(INDEX('Milestone Tracker – IHP'!$G:$G,220)),"",INDEX('Milestone Tracker – IHP'!$G:$G,220))</f>
        <v/>
      </c>
      <c r="I218" t="str">
        <f>IF(ISBLANK(INDEX('Milestone Tracker – IHP'!$H:$H,220)),"",INDEX('Milestone Tracker – IHP'!$H:$H,220))</f>
        <v/>
      </c>
      <c r="J218" t="e">
        <f>IF(ISBLANK(INDEX('Milestone Tracker – IHP'!#REF!,220)),"",INDEX('Milestone Tracker – IHP'!#REF!,220))</f>
        <v>#REF!</v>
      </c>
      <c r="K218">
        <f t="shared" si="6"/>
        <v>0</v>
      </c>
      <c r="L218">
        <f t="shared" si="7"/>
        <v>0</v>
      </c>
    </row>
    <row r="219" spans="1:12" x14ac:dyDescent="0.35">
      <c r="A219">
        <v>221</v>
      </c>
      <c r="B219">
        <f>IF(ISBLANK(INDEX('Milestone Tracker – IHP'!$B:$B,221)),B218,INDEX('Milestone Tracker – IHP'!$B:$B,221))</f>
        <v>0</v>
      </c>
      <c r="C219">
        <f>IF(ISBLANK(INDEX('Milestone Tracker – IHP'!$C:$C,221)),C218,INDEX('Milestone Tracker – IHP'!$C:$C,221))</f>
        <v>0</v>
      </c>
      <c r="D219">
        <f>IF(ISBLANK(INDEX('Milestone Tracker – IHP'!$D:$D,221)),D218,INDEX('Milestone Tracker – IHP'!$D:$D,221))</f>
        <v>0</v>
      </c>
      <c r="E219" t="str">
        <f>IF(ISBLANK(INDEX('Milestone Tracker – IHP'!$E:$E,221)),"",INDEX('Milestone Tracker – IHP'!$E:$E,221))</f>
        <v/>
      </c>
      <c r="F219" t="str">
        <f>IF(ISBLANK(INDEX('Milestone Tracker – IHP'!$F:$F,221)),"",INDEX('Milestone Tracker – IHP'!$F:$F,221))</f>
        <v/>
      </c>
      <c r="G219" t="e">
        <f>IF(ISBLANK(INDEX('Milestone Tracker – IHP'!#REF!,221)),"",INDEX('Milestone Tracker – IHP'!#REF!,221))</f>
        <v>#REF!</v>
      </c>
      <c r="H219" t="str">
        <f>IF(ISBLANK(INDEX('Milestone Tracker – IHP'!$G:$G,221)),"",INDEX('Milestone Tracker – IHP'!$G:$G,221))</f>
        <v/>
      </c>
      <c r="I219" t="str">
        <f>IF(ISBLANK(INDEX('Milestone Tracker – IHP'!$H:$H,221)),"",INDEX('Milestone Tracker – IHP'!$H:$H,221))</f>
        <v/>
      </c>
      <c r="J219" t="e">
        <f>IF(ISBLANK(INDEX('Milestone Tracker – IHP'!#REF!,221)),"",INDEX('Milestone Tracker – IHP'!#REF!,221))</f>
        <v>#REF!</v>
      </c>
      <c r="K219">
        <f t="shared" si="6"/>
        <v>0</v>
      </c>
      <c r="L219">
        <f t="shared" si="7"/>
        <v>0</v>
      </c>
    </row>
    <row r="220" spans="1:12" x14ac:dyDescent="0.35">
      <c r="A220">
        <v>222</v>
      </c>
      <c r="B220">
        <f>IF(ISBLANK(INDEX('Milestone Tracker – IHP'!$B:$B,222)),B219,INDEX('Milestone Tracker – IHP'!$B:$B,222))</f>
        <v>0</v>
      </c>
      <c r="C220">
        <f>IF(ISBLANK(INDEX('Milestone Tracker – IHP'!$C:$C,222)),C219,INDEX('Milestone Tracker – IHP'!$C:$C,222))</f>
        <v>0</v>
      </c>
      <c r="D220">
        <f>IF(ISBLANK(INDEX('Milestone Tracker – IHP'!$D:$D,222)),D219,INDEX('Milestone Tracker – IHP'!$D:$D,222))</f>
        <v>0</v>
      </c>
      <c r="E220" t="str">
        <f>IF(ISBLANK(INDEX('Milestone Tracker – IHP'!$E:$E,222)),"",INDEX('Milestone Tracker – IHP'!$E:$E,222))</f>
        <v/>
      </c>
      <c r="F220" t="str">
        <f>IF(ISBLANK(INDEX('Milestone Tracker – IHP'!$F:$F,222)),"",INDEX('Milestone Tracker – IHP'!$F:$F,222))</f>
        <v/>
      </c>
      <c r="G220" t="e">
        <f>IF(ISBLANK(INDEX('Milestone Tracker – IHP'!#REF!,222)),"",INDEX('Milestone Tracker – IHP'!#REF!,222))</f>
        <v>#REF!</v>
      </c>
      <c r="H220" t="str">
        <f>IF(ISBLANK(INDEX('Milestone Tracker – IHP'!$G:$G,222)),"",INDEX('Milestone Tracker – IHP'!$G:$G,222))</f>
        <v/>
      </c>
      <c r="I220" t="str">
        <f>IF(ISBLANK(INDEX('Milestone Tracker – IHP'!$H:$H,222)),"",INDEX('Milestone Tracker – IHP'!$H:$H,222))</f>
        <v/>
      </c>
      <c r="J220" t="e">
        <f>IF(ISBLANK(INDEX('Milestone Tracker – IHP'!#REF!,222)),"",INDEX('Milestone Tracker – IHP'!#REF!,222))</f>
        <v>#REF!</v>
      </c>
      <c r="K220">
        <f t="shared" si="6"/>
        <v>0</v>
      </c>
      <c r="L220">
        <f t="shared" si="7"/>
        <v>0</v>
      </c>
    </row>
    <row r="221" spans="1:12" x14ac:dyDescent="0.35">
      <c r="A221">
        <v>223</v>
      </c>
      <c r="B221">
        <f>IF(ISBLANK(INDEX('Milestone Tracker – IHP'!$B:$B,223)),B220,INDEX('Milestone Tracker – IHP'!$B:$B,223))</f>
        <v>0</v>
      </c>
      <c r="C221">
        <f>IF(ISBLANK(INDEX('Milestone Tracker – IHP'!$C:$C,223)),C220,INDEX('Milestone Tracker – IHP'!$C:$C,223))</f>
        <v>0</v>
      </c>
      <c r="D221">
        <f>IF(ISBLANK(INDEX('Milestone Tracker – IHP'!$D:$D,223)),D220,INDEX('Milestone Tracker – IHP'!$D:$D,223))</f>
        <v>0</v>
      </c>
      <c r="E221" t="str">
        <f>IF(ISBLANK(INDEX('Milestone Tracker – IHP'!$E:$E,223)),"",INDEX('Milestone Tracker – IHP'!$E:$E,223))</f>
        <v/>
      </c>
      <c r="F221" t="str">
        <f>IF(ISBLANK(INDEX('Milestone Tracker – IHP'!$F:$F,223)),"",INDEX('Milestone Tracker – IHP'!$F:$F,223))</f>
        <v/>
      </c>
      <c r="G221" t="e">
        <f>IF(ISBLANK(INDEX('Milestone Tracker – IHP'!#REF!,223)),"",INDEX('Milestone Tracker – IHP'!#REF!,223))</f>
        <v>#REF!</v>
      </c>
      <c r="H221" t="str">
        <f>IF(ISBLANK(INDEX('Milestone Tracker – IHP'!$G:$G,223)),"",INDEX('Milestone Tracker – IHP'!$G:$G,223))</f>
        <v/>
      </c>
      <c r="I221" t="str">
        <f>IF(ISBLANK(INDEX('Milestone Tracker – IHP'!$H:$H,223)),"",INDEX('Milestone Tracker – IHP'!$H:$H,223))</f>
        <v/>
      </c>
      <c r="J221" t="e">
        <f>IF(ISBLANK(INDEX('Milestone Tracker – IHP'!#REF!,223)),"",INDEX('Milestone Tracker – IHP'!#REF!,223))</f>
        <v>#REF!</v>
      </c>
      <c r="K221">
        <f t="shared" si="6"/>
        <v>0</v>
      </c>
      <c r="L221">
        <f t="shared" si="7"/>
        <v>0</v>
      </c>
    </row>
    <row r="222" spans="1:12" x14ac:dyDescent="0.35">
      <c r="A222">
        <v>224</v>
      </c>
      <c r="B222">
        <f>IF(ISBLANK(INDEX('Milestone Tracker – IHP'!$B:$B,224)),B221,INDEX('Milestone Tracker – IHP'!$B:$B,224))</f>
        <v>0</v>
      </c>
      <c r="C222">
        <f>IF(ISBLANK(INDEX('Milestone Tracker – IHP'!$C:$C,224)),C221,INDEX('Milestone Tracker – IHP'!$C:$C,224))</f>
        <v>0</v>
      </c>
      <c r="D222">
        <f>IF(ISBLANK(INDEX('Milestone Tracker – IHP'!$D:$D,224)),D221,INDEX('Milestone Tracker – IHP'!$D:$D,224))</f>
        <v>0</v>
      </c>
      <c r="E222" t="str">
        <f>IF(ISBLANK(INDEX('Milestone Tracker – IHP'!$E:$E,224)),"",INDEX('Milestone Tracker – IHP'!$E:$E,224))</f>
        <v/>
      </c>
      <c r="F222" t="str">
        <f>IF(ISBLANK(INDEX('Milestone Tracker – IHP'!$F:$F,224)),"",INDEX('Milestone Tracker – IHP'!$F:$F,224))</f>
        <v/>
      </c>
      <c r="G222" t="e">
        <f>IF(ISBLANK(INDEX('Milestone Tracker – IHP'!#REF!,224)),"",INDEX('Milestone Tracker – IHP'!#REF!,224))</f>
        <v>#REF!</v>
      </c>
      <c r="H222" t="str">
        <f>IF(ISBLANK(INDEX('Milestone Tracker – IHP'!$G:$G,224)),"",INDEX('Milestone Tracker – IHP'!$G:$G,224))</f>
        <v/>
      </c>
      <c r="I222" t="str">
        <f>IF(ISBLANK(INDEX('Milestone Tracker – IHP'!$H:$H,224)),"",INDEX('Milestone Tracker – IHP'!$H:$H,224))</f>
        <v/>
      </c>
      <c r="J222" t="e">
        <f>IF(ISBLANK(INDEX('Milestone Tracker – IHP'!#REF!,224)),"",INDEX('Milestone Tracker – IHP'!#REF!,224))</f>
        <v>#REF!</v>
      </c>
      <c r="K222">
        <f t="shared" si="6"/>
        <v>0</v>
      </c>
      <c r="L222">
        <f t="shared" si="7"/>
        <v>0</v>
      </c>
    </row>
    <row r="223" spans="1:12" x14ac:dyDescent="0.35">
      <c r="A223">
        <v>225</v>
      </c>
      <c r="B223">
        <f>IF(ISBLANK(INDEX('Milestone Tracker – IHP'!$B:$B,225)),B222,INDEX('Milestone Tracker – IHP'!$B:$B,225))</f>
        <v>0</v>
      </c>
      <c r="C223">
        <f>IF(ISBLANK(INDEX('Milestone Tracker – IHP'!$C:$C,225)),C222,INDEX('Milestone Tracker – IHP'!$C:$C,225))</f>
        <v>0</v>
      </c>
      <c r="D223">
        <f>IF(ISBLANK(INDEX('Milestone Tracker – IHP'!$D:$D,225)),D222,INDEX('Milestone Tracker – IHP'!$D:$D,225))</f>
        <v>0</v>
      </c>
      <c r="E223" t="str">
        <f>IF(ISBLANK(INDEX('Milestone Tracker – IHP'!$E:$E,225)),"",INDEX('Milestone Tracker – IHP'!$E:$E,225))</f>
        <v/>
      </c>
      <c r="F223" t="str">
        <f>IF(ISBLANK(INDEX('Milestone Tracker – IHP'!$F:$F,225)),"",INDEX('Milestone Tracker – IHP'!$F:$F,225))</f>
        <v/>
      </c>
      <c r="G223" t="e">
        <f>IF(ISBLANK(INDEX('Milestone Tracker – IHP'!#REF!,225)),"",INDEX('Milestone Tracker – IHP'!#REF!,225))</f>
        <v>#REF!</v>
      </c>
      <c r="H223" t="str">
        <f>IF(ISBLANK(INDEX('Milestone Tracker – IHP'!$G:$G,225)),"",INDEX('Milestone Tracker – IHP'!$G:$G,225))</f>
        <v/>
      </c>
      <c r="I223" t="str">
        <f>IF(ISBLANK(INDEX('Milestone Tracker – IHP'!$H:$H,225)),"",INDEX('Milestone Tracker – IHP'!$H:$H,225))</f>
        <v/>
      </c>
      <c r="J223" t="e">
        <f>IF(ISBLANK(INDEX('Milestone Tracker – IHP'!#REF!,225)),"",INDEX('Milestone Tracker – IHP'!#REF!,225))</f>
        <v>#REF!</v>
      </c>
      <c r="K223">
        <f t="shared" si="6"/>
        <v>0</v>
      </c>
      <c r="L223">
        <f t="shared" si="7"/>
        <v>0</v>
      </c>
    </row>
    <row r="224" spans="1:12" x14ac:dyDescent="0.35">
      <c r="A224">
        <v>226</v>
      </c>
      <c r="B224">
        <f>IF(ISBLANK(INDEX('Milestone Tracker – IHP'!$B:$B,226)),B223,INDEX('Milestone Tracker – IHP'!$B:$B,226))</f>
        <v>0</v>
      </c>
      <c r="C224">
        <f>IF(ISBLANK(INDEX('Milestone Tracker – IHP'!$C:$C,226)),C223,INDEX('Milestone Tracker – IHP'!$C:$C,226))</f>
        <v>0</v>
      </c>
      <c r="D224">
        <f>IF(ISBLANK(INDEX('Milestone Tracker – IHP'!$D:$D,226)),D223,INDEX('Milestone Tracker – IHP'!$D:$D,226))</f>
        <v>0</v>
      </c>
      <c r="E224" t="str">
        <f>IF(ISBLANK(INDEX('Milestone Tracker – IHP'!$E:$E,226)),"",INDEX('Milestone Tracker – IHP'!$E:$E,226))</f>
        <v/>
      </c>
      <c r="F224" t="str">
        <f>IF(ISBLANK(INDEX('Milestone Tracker – IHP'!$F:$F,226)),"",INDEX('Milestone Tracker – IHP'!$F:$F,226))</f>
        <v/>
      </c>
      <c r="G224" t="e">
        <f>IF(ISBLANK(INDEX('Milestone Tracker – IHP'!#REF!,226)),"",INDEX('Milestone Tracker – IHP'!#REF!,226))</f>
        <v>#REF!</v>
      </c>
      <c r="H224" t="str">
        <f>IF(ISBLANK(INDEX('Milestone Tracker – IHP'!$G:$G,226)),"",INDEX('Milestone Tracker – IHP'!$G:$G,226))</f>
        <v/>
      </c>
      <c r="I224" t="str">
        <f>IF(ISBLANK(INDEX('Milestone Tracker – IHP'!$H:$H,226)),"",INDEX('Milestone Tracker – IHP'!$H:$H,226))</f>
        <v/>
      </c>
      <c r="J224" t="e">
        <f>IF(ISBLANK(INDEX('Milestone Tracker – IHP'!#REF!,226)),"",INDEX('Milestone Tracker – IHP'!#REF!,226))</f>
        <v>#REF!</v>
      </c>
      <c r="K224">
        <f t="shared" si="6"/>
        <v>0</v>
      </c>
      <c r="L224">
        <f t="shared" si="7"/>
        <v>0</v>
      </c>
    </row>
    <row r="225" spans="1:12" x14ac:dyDescent="0.35">
      <c r="A225">
        <v>227</v>
      </c>
      <c r="B225">
        <f>IF(ISBLANK(INDEX('Milestone Tracker – IHP'!$B:$B,227)),B224,INDEX('Milestone Tracker – IHP'!$B:$B,227))</f>
        <v>0</v>
      </c>
      <c r="C225">
        <f>IF(ISBLANK(INDEX('Milestone Tracker – IHP'!$C:$C,227)),C224,INDEX('Milestone Tracker – IHP'!$C:$C,227))</f>
        <v>0</v>
      </c>
      <c r="D225">
        <f>IF(ISBLANK(INDEX('Milestone Tracker – IHP'!$D:$D,227)),D224,INDEX('Milestone Tracker – IHP'!$D:$D,227))</f>
        <v>0</v>
      </c>
      <c r="E225" t="str">
        <f>IF(ISBLANK(INDEX('Milestone Tracker – IHP'!$E:$E,227)),"",INDEX('Milestone Tracker – IHP'!$E:$E,227))</f>
        <v/>
      </c>
      <c r="F225" t="str">
        <f>IF(ISBLANK(INDEX('Milestone Tracker – IHP'!$F:$F,227)),"",INDEX('Milestone Tracker – IHP'!$F:$F,227))</f>
        <v/>
      </c>
      <c r="G225" t="e">
        <f>IF(ISBLANK(INDEX('Milestone Tracker – IHP'!#REF!,227)),"",INDEX('Milestone Tracker – IHP'!#REF!,227))</f>
        <v>#REF!</v>
      </c>
      <c r="H225" t="str">
        <f>IF(ISBLANK(INDEX('Milestone Tracker – IHP'!$G:$G,227)),"",INDEX('Milestone Tracker – IHP'!$G:$G,227))</f>
        <v/>
      </c>
      <c r="I225" t="str">
        <f>IF(ISBLANK(INDEX('Milestone Tracker – IHP'!$H:$H,227)),"",INDEX('Milestone Tracker – IHP'!$H:$H,227))</f>
        <v/>
      </c>
      <c r="J225" t="e">
        <f>IF(ISBLANK(INDEX('Milestone Tracker – IHP'!#REF!,227)),"",INDEX('Milestone Tracker – IHP'!#REF!,227))</f>
        <v>#REF!</v>
      </c>
      <c r="K225">
        <f t="shared" si="6"/>
        <v>0</v>
      </c>
      <c r="L225">
        <f t="shared" si="7"/>
        <v>0</v>
      </c>
    </row>
    <row r="226" spans="1:12" x14ac:dyDescent="0.35">
      <c r="A226">
        <v>228</v>
      </c>
      <c r="B226">
        <f>IF(ISBLANK(INDEX('Milestone Tracker – IHP'!$B:$B,228)),B225,INDEX('Milestone Tracker – IHP'!$B:$B,228))</f>
        <v>0</v>
      </c>
      <c r="C226">
        <f>IF(ISBLANK(INDEX('Milestone Tracker – IHP'!$C:$C,228)),C225,INDEX('Milestone Tracker – IHP'!$C:$C,228))</f>
        <v>0</v>
      </c>
      <c r="D226">
        <f>IF(ISBLANK(INDEX('Milestone Tracker – IHP'!$D:$D,228)),D225,INDEX('Milestone Tracker – IHP'!$D:$D,228))</f>
        <v>0</v>
      </c>
      <c r="E226" t="str">
        <f>IF(ISBLANK(INDEX('Milestone Tracker – IHP'!$E:$E,228)),"",INDEX('Milestone Tracker – IHP'!$E:$E,228))</f>
        <v/>
      </c>
      <c r="F226" t="str">
        <f>IF(ISBLANK(INDEX('Milestone Tracker – IHP'!$F:$F,228)),"",INDEX('Milestone Tracker – IHP'!$F:$F,228))</f>
        <v/>
      </c>
      <c r="G226" t="e">
        <f>IF(ISBLANK(INDEX('Milestone Tracker – IHP'!#REF!,228)),"",INDEX('Milestone Tracker – IHP'!#REF!,228))</f>
        <v>#REF!</v>
      </c>
      <c r="H226" t="str">
        <f>IF(ISBLANK(INDEX('Milestone Tracker – IHP'!$G:$G,228)),"",INDEX('Milestone Tracker – IHP'!$G:$G,228))</f>
        <v/>
      </c>
      <c r="I226" t="str">
        <f>IF(ISBLANK(INDEX('Milestone Tracker – IHP'!$H:$H,228)),"",INDEX('Milestone Tracker – IHP'!$H:$H,228))</f>
        <v/>
      </c>
      <c r="J226" t="e">
        <f>IF(ISBLANK(INDEX('Milestone Tracker – IHP'!#REF!,228)),"",INDEX('Milestone Tracker – IHP'!#REF!,228))</f>
        <v>#REF!</v>
      </c>
      <c r="K226">
        <f t="shared" si="6"/>
        <v>0</v>
      </c>
      <c r="L226">
        <f t="shared" si="7"/>
        <v>0</v>
      </c>
    </row>
    <row r="227" spans="1:12" x14ac:dyDescent="0.35">
      <c r="A227">
        <v>229</v>
      </c>
      <c r="B227">
        <f>IF(ISBLANK(INDEX('Milestone Tracker – IHP'!$B:$B,229)),B226,INDEX('Milestone Tracker – IHP'!$B:$B,229))</f>
        <v>0</v>
      </c>
      <c r="C227">
        <f>IF(ISBLANK(INDEX('Milestone Tracker – IHP'!$C:$C,229)),C226,INDEX('Milestone Tracker – IHP'!$C:$C,229))</f>
        <v>0</v>
      </c>
      <c r="D227">
        <f>IF(ISBLANK(INDEX('Milestone Tracker – IHP'!$D:$D,229)),D226,INDEX('Milestone Tracker – IHP'!$D:$D,229))</f>
        <v>0</v>
      </c>
      <c r="E227" t="str">
        <f>IF(ISBLANK(INDEX('Milestone Tracker – IHP'!$E:$E,229)),"",INDEX('Milestone Tracker – IHP'!$E:$E,229))</f>
        <v/>
      </c>
      <c r="F227" t="str">
        <f>IF(ISBLANK(INDEX('Milestone Tracker – IHP'!$F:$F,229)),"",INDEX('Milestone Tracker – IHP'!$F:$F,229))</f>
        <v/>
      </c>
      <c r="G227" t="e">
        <f>IF(ISBLANK(INDEX('Milestone Tracker – IHP'!#REF!,229)),"",INDEX('Milestone Tracker – IHP'!#REF!,229))</f>
        <v>#REF!</v>
      </c>
      <c r="H227" t="str">
        <f>IF(ISBLANK(INDEX('Milestone Tracker – IHP'!$G:$G,229)),"",INDEX('Milestone Tracker – IHP'!$G:$G,229))</f>
        <v/>
      </c>
      <c r="I227" t="str">
        <f>IF(ISBLANK(INDEX('Milestone Tracker – IHP'!$H:$H,229)),"",INDEX('Milestone Tracker – IHP'!$H:$H,229))</f>
        <v/>
      </c>
      <c r="J227" t="e">
        <f>IF(ISBLANK(INDEX('Milestone Tracker – IHP'!#REF!,229)),"",INDEX('Milestone Tracker – IHP'!#REF!,229))</f>
        <v>#REF!</v>
      </c>
      <c r="K227">
        <f t="shared" si="6"/>
        <v>0</v>
      </c>
      <c r="L227">
        <f t="shared" si="7"/>
        <v>0</v>
      </c>
    </row>
    <row r="228" spans="1:12" x14ac:dyDescent="0.35">
      <c r="A228">
        <v>230</v>
      </c>
      <c r="B228">
        <f>IF(ISBLANK(INDEX('Milestone Tracker – IHP'!$B:$B,230)),B227,INDEX('Milestone Tracker – IHP'!$B:$B,230))</f>
        <v>0</v>
      </c>
      <c r="C228">
        <f>IF(ISBLANK(INDEX('Milestone Tracker – IHP'!$C:$C,230)),C227,INDEX('Milestone Tracker – IHP'!$C:$C,230))</f>
        <v>0</v>
      </c>
      <c r="D228">
        <f>IF(ISBLANK(INDEX('Milestone Tracker – IHP'!$D:$D,230)),D227,INDEX('Milestone Tracker – IHP'!$D:$D,230))</f>
        <v>0</v>
      </c>
      <c r="E228" t="str">
        <f>IF(ISBLANK(INDEX('Milestone Tracker – IHP'!$E:$E,230)),"",INDEX('Milestone Tracker – IHP'!$E:$E,230))</f>
        <v/>
      </c>
      <c r="F228" t="str">
        <f>IF(ISBLANK(INDEX('Milestone Tracker – IHP'!$F:$F,230)),"",INDEX('Milestone Tracker – IHP'!$F:$F,230))</f>
        <v/>
      </c>
      <c r="G228" t="e">
        <f>IF(ISBLANK(INDEX('Milestone Tracker – IHP'!#REF!,230)),"",INDEX('Milestone Tracker – IHP'!#REF!,230))</f>
        <v>#REF!</v>
      </c>
      <c r="H228" t="str">
        <f>IF(ISBLANK(INDEX('Milestone Tracker – IHP'!$G:$G,230)),"",INDEX('Milestone Tracker – IHP'!$G:$G,230))</f>
        <v/>
      </c>
      <c r="I228" t="str">
        <f>IF(ISBLANK(INDEX('Milestone Tracker – IHP'!$H:$H,230)),"",INDEX('Milestone Tracker – IHP'!$H:$H,230))</f>
        <v/>
      </c>
      <c r="J228" t="e">
        <f>IF(ISBLANK(INDEX('Milestone Tracker – IHP'!#REF!,230)),"",INDEX('Milestone Tracker – IHP'!#REF!,230))</f>
        <v>#REF!</v>
      </c>
      <c r="K228">
        <f t="shared" si="6"/>
        <v>0</v>
      </c>
      <c r="L228">
        <f t="shared" si="7"/>
        <v>0</v>
      </c>
    </row>
    <row r="229" spans="1:12" x14ac:dyDescent="0.35">
      <c r="A229">
        <v>231</v>
      </c>
      <c r="B229">
        <f>IF(ISBLANK(INDEX('Milestone Tracker – IHP'!$B:$B,231)),B228,INDEX('Milestone Tracker – IHP'!$B:$B,231))</f>
        <v>0</v>
      </c>
      <c r="C229">
        <f>IF(ISBLANK(INDEX('Milestone Tracker – IHP'!$C:$C,231)),C228,INDEX('Milestone Tracker – IHP'!$C:$C,231))</f>
        <v>0</v>
      </c>
      <c r="D229">
        <f>IF(ISBLANK(INDEX('Milestone Tracker – IHP'!$D:$D,231)),D228,INDEX('Milestone Tracker – IHP'!$D:$D,231))</f>
        <v>0</v>
      </c>
      <c r="E229" t="str">
        <f>IF(ISBLANK(INDEX('Milestone Tracker – IHP'!$E:$E,231)),"",INDEX('Milestone Tracker – IHP'!$E:$E,231))</f>
        <v/>
      </c>
      <c r="F229" t="str">
        <f>IF(ISBLANK(INDEX('Milestone Tracker – IHP'!$F:$F,231)),"",INDEX('Milestone Tracker – IHP'!$F:$F,231))</f>
        <v/>
      </c>
      <c r="G229" t="e">
        <f>IF(ISBLANK(INDEX('Milestone Tracker – IHP'!#REF!,231)),"",INDEX('Milestone Tracker – IHP'!#REF!,231))</f>
        <v>#REF!</v>
      </c>
      <c r="H229" t="str">
        <f>IF(ISBLANK(INDEX('Milestone Tracker – IHP'!$G:$G,231)),"",INDEX('Milestone Tracker – IHP'!$G:$G,231))</f>
        <v/>
      </c>
      <c r="I229" t="str">
        <f>IF(ISBLANK(INDEX('Milestone Tracker – IHP'!$H:$H,231)),"",INDEX('Milestone Tracker – IHP'!$H:$H,231))</f>
        <v/>
      </c>
      <c r="J229" t="e">
        <f>IF(ISBLANK(INDEX('Milestone Tracker – IHP'!#REF!,231)),"",INDEX('Milestone Tracker – IHP'!#REF!,231))</f>
        <v>#REF!</v>
      </c>
      <c r="K229">
        <f t="shared" si="6"/>
        <v>0</v>
      </c>
      <c r="L229">
        <f t="shared" si="7"/>
        <v>0</v>
      </c>
    </row>
    <row r="230" spans="1:12" x14ac:dyDescent="0.35">
      <c r="A230">
        <v>232</v>
      </c>
      <c r="B230">
        <f>IF(ISBLANK(INDEX('Milestone Tracker – IHP'!$B:$B,232)),B229,INDEX('Milestone Tracker – IHP'!$B:$B,232))</f>
        <v>0</v>
      </c>
      <c r="C230">
        <f>IF(ISBLANK(INDEX('Milestone Tracker – IHP'!$C:$C,232)),C229,INDEX('Milestone Tracker – IHP'!$C:$C,232))</f>
        <v>0</v>
      </c>
      <c r="D230">
        <f>IF(ISBLANK(INDEX('Milestone Tracker – IHP'!$D:$D,232)),D229,INDEX('Milestone Tracker – IHP'!$D:$D,232))</f>
        <v>0</v>
      </c>
      <c r="E230" t="str">
        <f>IF(ISBLANK(INDEX('Milestone Tracker – IHP'!$E:$E,232)),"",INDEX('Milestone Tracker – IHP'!$E:$E,232))</f>
        <v/>
      </c>
      <c r="F230" t="str">
        <f>IF(ISBLANK(INDEX('Milestone Tracker – IHP'!$F:$F,232)),"",INDEX('Milestone Tracker – IHP'!$F:$F,232))</f>
        <v/>
      </c>
      <c r="G230" t="e">
        <f>IF(ISBLANK(INDEX('Milestone Tracker – IHP'!#REF!,232)),"",INDEX('Milestone Tracker – IHP'!#REF!,232))</f>
        <v>#REF!</v>
      </c>
      <c r="H230" t="str">
        <f>IF(ISBLANK(INDEX('Milestone Tracker – IHP'!$G:$G,232)),"",INDEX('Milestone Tracker – IHP'!$G:$G,232))</f>
        <v/>
      </c>
      <c r="I230" t="str">
        <f>IF(ISBLANK(INDEX('Milestone Tracker – IHP'!$H:$H,232)),"",INDEX('Milestone Tracker – IHP'!$H:$H,232))</f>
        <v/>
      </c>
      <c r="J230" t="e">
        <f>IF(ISBLANK(INDEX('Milestone Tracker – IHP'!#REF!,232)),"",INDEX('Milestone Tracker – IHP'!#REF!,232))</f>
        <v>#REF!</v>
      </c>
      <c r="K230">
        <f t="shared" si="6"/>
        <v>0</v>
      </c>
      <c r="L230">
        <f t="shared" si="7"/>
        <v>0</v>
      </c>
    </row>
    <row r="231" spans="1:12" x14ac:dyDescent="0.35">
      <c r="A231">
        <v>233</v>
      </c>
      <c r="B231">
        <f>IF(ISBLANK(INDEX('Milestone Tracker – IHP'!$B:$B,233)),B230,INDEX('Milestone Tracker – IHP'!$B:$B,233))</f>
        <v>0</v>
      </c>
      <c r="C231">
        <f>IF(ISBLANK(INDEX('Milestone Tracker – IHP'!$C:$C,233)),C230,INDEX('Milestone Tracker – IHP'!$C:$C,233))</f>
        <v>0</v>
      </c>
      <c r="D231">
        <f>IF(ISBLANK(INDEX('Milestone Tracker – IHP'!$D:$D,233)),D230,INDEX('Milestone Tracker – IHP'!$D:$D,233))</f>
        <v>0</v>
      </c>
      <c r="E231" t="str">
        <f>IF(ISBLANK(INDEX('Milestone Tracker – IHP'!$E:$E,233)),"",INDEX('Milestone Tracker – IHP'!$E:$E,233))</f>
        <v/>
      </c>
      <c r="F231" t="str">
        <f>IF(ISBLANK(INDEX('Milestone Tracker – IHP'!$F:$F,233)),"",INDEX('Milestone Tracker – IHP'!$F:$F,233))</f>
        <v/>
      </c>
      <c r="G231" t="e">
        <f>IF(ISBLANK(INDEX('Milestone Tracker – IHP'!#REF!,233)),"",INDEX('Milestone Tracker – IHP'!#REF!,233))</f>
        <v>#REF!</v>
      </c>
      <c r="H231" t="str">
        <f>IF(ISBLANK(INDEX('Milestone Tracker – IHP'!$G:$G,233)),"",INDEX('Milestone Tracker – IHP'!$G:$G,233))</f>
        <v/>
      </c>
      <c r="I231" t="str">
        <f>IF(ISBLANK(INDEX('Milestone Tracker – IHP'!$H:$H,233)),"",INDEX('Milestone Tracker – IHP'!$H:$H,233))</f>
        <v/>
      </c>
      <c r="J231" t="e">
        <f>IF(ISBLANK(INDEX('Milestone Tracker – IHP'!#REF!,233)),"",INDEX('Milestone Tracker – IHP'!#REF!,233))</f>
        <v>#REF!</v>
      </c>
      <c r="K231">
        <f t="shared" si="6"/>
        <v>0</v>
      </c>
      <c r="L231">
        <f t="shared" si="7"/>
        <v>0</v>
      </c>
    </row>
    <row r="232" spans="1:12" x14ac:dyDescent="0.35">
      <c r="A232">
        <v>234</v>
      </c>
      <c r="B232">
        <f>IF(ISBLANK(INDEX('Milestone Tracker – IHP'!$B:$B,234)),B231,INDEX('Milestone Tracker – IHP'!$B:$B,234))</f>
        <v>0</v>
      </c>
      <c r="C232">
        <f>IF(ISBLANK(INDEX('Milestone Tracker – IHP'!$C:$C,234)),C231,INDEX('Milestone Tracker – IHP'!$C:$C,234))</f>
        <v>0</v>
      </c>
      <c r="D232">
        <f>IF(ISBLANK(INDEX('Milestone Tracker – IHP'!$D:$D,234)),D231,INDEX('Milestone Tracker – IHP'!$D:$D,234))</f>
        <v>0</v>
      </c>
      <c r="E232" t="str">
        <f>IF(ISBLANK(INDEX('Milestone Tracker – IHP'!$E:$E,234)),"",INDEX('Milestone Tracker – IHP'!$E:$E,234))</f>
        <v/>
      </c>
      <c r="F232" t="str">
        <f>IF(ISBLANK(INDEX('Milestone Tracker – IHP'!$F:$F,234)),"",INDEX('Milestone Tracker – IHP'!$F:$F,234))</f>
        <v/>
      </c>
      <c r="G232" t="e">
        <f>IF(ISBLANK(INDEX('Milestone Tracker – IHP'!#REF!,234)),"",INDEX('Milestone Tracker – IHP'!#REF!,234))</f>
        <v>#REF!</v>
      </c>
      <c r="H232" t="str">
        <f>IF(ISBLANK(INDEX('Milestone Tracker – IHP'!$G:$G,234)),"",INDEX('Milestone Tracker – IHP'!$G:$G,234))</f>
        <v/>
      </c>
      <c r="I232" t="str">
        <f>IF(ISBLANK(INDEX('Milestone Tracker – IHP'!$H:$H,234)),"",INDEX('Milestone Tracker – IHP'!$H:$H,234))</f>
        <v/>
      </c>
      <c r="J232" t="e">
        <f>IF(ISBLANK(INDEX('Milestone Tracker – IHP'!#REF!,234)),"",INDEX('Milestone Tracker – IHP'!#REF!,234))</f>
        <v>#REF!</v>
      </c>
      <c r="K232">
        <f t="shared" si="6"/>
        <v>0</v>
      </c>
      <c r="L232">
        <f t="shared" si="7"/>
        <v>0</v>
      </c>
    </row>
    <row r="233" spans="1:12" x14ac:dyDescent="0.35">
      <c r="A233">
        <v>235</v>
      </c>
      <c r="B233">
        <f>IF(ISBLANK(INDEX('Milestone Tracker – IHP'!$B:$B,235)),B232,INDEX('Milestone Tracker – IHP'!$B:$B,235))</f>
        <v>0</v>
      </c>
      <c r="C233">
        <f>IF(ISBLANK(INDEX('Milestone Tracker – IHP'!$C:$C,235)),C232,INDEX('Milestone Tracker – IHP'!$C:$C,235))</f>
        <v>0</v>
      </c>
      <c r="D233">
        <f>IF(ISBLANK(INDEX('Milestone Tracker – IHP'!$D:$D,235)),D232,INDEX('Milestone Tracker – IHP'!$D:$D,235))</f>
        <v>0</v>
      </c>
      <c r="E233" t="str">
        <f>IF(ISBLANK(INDEX('Milestone Tracker – IHP'!$E:$E,235)),"",INDEX('Milestone Tracker – IHP'!$E:$E,235))</f>
        <v/>
      </c>
      <c r="F233" t="str">
        <f>IF(ISBLANK(INDEX('Milestone Tracker – IHP'!$F:$F,235)),"",INDEX('Milestone Tracker – IHP'!$F:$F,235))</f>
        <v/>
      </c>
      <c r="G233" t="e">
        <f>IF(ISBLANK(INDEX('Milestone Tracker – IHP'!#REF!,235)),"",INDEX('Milestone Tracker – IHP'!#REF!,235))</f>
        <v>#REF!</v>
      </c>
      <c r="H233" t="str">
        <f>IF(ISBLANK(INDEX('Milestone Tracker – IHP'!$G:$G,235)),"",INDEX('Milestone Tracker – IHP'!$G:$G,235))</f>
        <v/>
      </c>
      <c r="I233" t="str">
        <f>IF(ISBLANK(INDEX('Milestone Tracker – IHP'!$H:$H,235)),"",INDEX('Milestone Tracker – IHP'!$H:$H,235))</f>
        <v/>
      </c>
      <c r="J233" t="e">
        <f>IF(ISBLANK(INDEX('Milestone Tracker – IHP'!#REF!,235)),"",INDEX('Milestone Tracker – IHP'!#REF!,235))</f>
        <v>#REF!</v>
      </c>
      <c r="K233">
        <f t="shared" si="6"/>
        <v>0</v>
      </c>
      <c r="L233">
        <f t="shared" si="7"/>
        <v>0</v>
      </c>
    </row>
    <row r="234" spans="1:12" x14ac:dyDescent="0.35">
      <c r="A234">
        <v>236</v>
      </c>
      <c r="B234">
        <f>IF(ISBLANK(INDEX('Milestone Tracker – IHP'!$B:$B,236)),B233,INDEX('Milestone Tracker – IHP'!$B:$B,236))</f>
        <v>0</v>
      </c>
      <c r="C234">
        <f>IF(ISBLANK(INDEX('Milestone Tracker – IHP'!$C:$C,236)),C233,INDEX('Milestone Tracker – IHP'!$C:$C,236))</f>
        <v>0</v>
      </c>
      <c r="D234">
        <f>IF(ISBLANK(INDEX('Milestone Tracker – IHP'!$D:$D,236)),D233,INDEX('Milestone Tracker – IHP'!$D:$D,236))</f>
        <v>0</v>
      </c>
      <c r="E234" t="str">
        <f>IF(ISBLANK(INDEX('Milestone Tracker – IHP'!$E:$E,236)),"",INDEX('Milestone Tracker – IHP'!$E:$E,236))</f>
        <v/>
      </c>
      <c r="F234" t="str">
        <f>IF(ISBLANK(INDEX('Milestone Tracker – IHP'!$F:$F,236)),"",INDEX('Milestone Tracker – IHP'!$F:$F,236))</f>
        <v/>
      </c>
      <c r="G234" t="e">
        <f>IF(ISBLANK(INDEX('Milestone Tracker – IHP'!#REF!,236)),"",INDEX('Milestone Tracker – IHP'!#REF!,236))</f>
        <v>#REF!</v>
      </c>
      <c r="H234" t="str">
        <f>IF(ISBLANK(INDEX('Milestone Tracker – IHP'!$G:$G,236)),"",INDEX('Milestone Tracker – IHP'!$G:$G,236))</f>
        <v/>
      </c>
      <c r="I234" t="str">
        <f>IF(ISBLANK(INDEX('Milestone Tracker – IHP'!$H:$H,236)),"",INDEX('Milestone Tracker – IHP'!$H:$H,236))</f>
        <v/>
      </c>
      <c r="J234" t="e">
        <f>IF(ISBLANK(INDEX('Milestone Tracker – IHP'!#REF!,236)),"",INDEX('Milestone Tracker – IHP'!#REF!,236))</f>
        <v>#REF!</v>
      </c>
      <c r="K234">
        <f t="shared" si="6"/>
        <v>0</v>
      </c>
      <c r="L234">
        <f t="shared" si="7"/>
        <v>0</v>
      </c>
    </row>
    <row r="235" spans="1:12" x14ac:dyDescent="0.35">
      <c r="A235">
        <v>237</v>
      </c>
      <c r="B235">
        <f>IF(ISBLANK(INDEX('Milestone Tracker – IHP'!$B:$B,237)),B234,INDEX('Milestone Tracker – IHP'!$B:$B,237))</f>
        <v>0</v>
      </c>
      <c r="C235">
        <f>IF(ISBLANK(INDEX('Milestone Tracker – IHP'!$C:$C,237)),C234,INDEX('Milestone Tracker – IHP'!$C:$C,237))</f>
        <v>0</v>
      </c>
      <c r="D235">
        <f>IF(ISBLANK(INDEX('Milestone Tracker – IHP'!$D:$D,237)),D234,INDEX('Milestone Tracker – IHP'!$D:$D,237))</f>
        <v>0</v>
      </c>
      <c r="E235" t="str">
        <f>IF(ISBLANK(INDEX('Milestone Tracker – IHP'!$E:$E,237)),"",INDEX('Milestone Tracker – IHP'!$E:$E,237))</f>
        <v/>
      </c>
      <c r="F235" t="str">
        <f>IF(ISBLANK(INDEX('Milestone Tracker – IHP'!$F:$F,237)),"",INDEX('Milestone Tracker – IHP'!$F:$F,237))</f>
        <v/>
      </c>
      <c r="G235" t="e">
        <f>IF(ISBLANK(INDEX('Milestone Tracker – IHP'!#REF!,237)),"",INDEX('Milestone Tracker – IHP'!#REF!,237))</f>
        <v>#REF!</v>
      </c>
      <c r="H235" t="str">
        <f>IF(ISBLANK(INDEX('Milestone Tracker – IHP'!$G:$G,237)),"",INDEX('Milestone Tracker – IHP'!$G:$G,237))</f>
        <v/>
      </c>
      <c r="I235" t="str">
        <f>IF(ISBLANK(INDEX('Milestone Tracker – IHP'!$H:$H,237)),"",INDEX('Milestone Tracker – IHP'!$H:$H,237))</f>
        <v/>
      </c>
      <c r="J235" t="e">
        <f>IF(ISBLANK(INDEX('Milestone Tracker – IHP'!#REF!,237)),"",INDEX('Milestone Tracker – IHP'!#REF!,237))</f>
        <v>#REF!</v>
      </c>
      <c r="K235">
        <f t="shared" si="6"/>
        <v>0</v>
      </c>
      <c r="L235">
        <f t="shared" si="7"/>
        <v>0</v>
      </c>
    </row>
    <row r="236" spans="1:12" x14ac:dyDescent="0.35">
      <c r="A236">
        <v>238</v>
      </c>
      <c r="B236">
        <f>IF(ISBLANK(INDEX('Milestone Tracker – IHP'!$B:$B,238)),B235,INDEX('Milestone Tracker – IHP'!$B:$B,238))</f>
        <v>0</v>
      </c>
      <c r="C236">
        <f>IF(ISBLANK(INDEX('Milestone Tracker – IHP'!$C:$C,238)),C235,INDEX('Milestone Tracker – IHP'!$C:$C,238))</f>
        <v>0</v>
      </c>
      <c r="D236">
        <f>IF(ISBLANK(INDEX('Milestone Tracker – IHP'!$D:$D,238)),D235,INDEX('Milestone Tracker – IHP'!$D:$D,238))</f>
        <v>0</v>
      </c>
      <c r="E236" t="str">
        <f>IF(ISBLANK(INDEX('Milestone Tracker – IHP'!$E:$E,238)),"",INDEX('Milestone Tracker – IHP'!$E:$E,238))</f>
        <v/>
      </c>
      <c r="F236" t="str">
        <f>IF(ISBLANK(INDEX('Milestone Tracker – IHP'!$F:$F,238)),"",INDEX('Milestone Tracker – IHP'!$F:$F,238))</f>
        <v/>
      </c>
      <c r="G236" t="e">
        <f>IF(ISBLANK(INDEX('Milestone Tracker – IHP'!#REF!,238)),"",INDEX('Milestone Tracker – IHP'!#REF!,238))</f>
        <v>#REF!</v>
      </c>
      <c r="H236" t="str">
        <f>IF(ISBLANK(INDEX('Milestone Tracker – IHP'!$G:$G,238)),"",INDEX('Milestone Tracker – IHP'!$G:$G,238))</f>
        <v/>
      </c>
      <c r="I236" t="str">
        <f>IF(ISBLANK(INDEX('Milestone Tracker – IHP'!$H:$H,238)),"",INDEX('Milestone Tracker – IHP'!$H:$H,238))</f>
        <v/>
      </c>
      <c r="J236" t="e">
        <f>IF(ISBLANK(INDEX('Milestone Tracker – IHP'!#REF!,238)),"",INDEX('Milestone Tracker – IHP'!#REF!,238))</f>
        <v>#REF!</v>
      </c>
      <c r="K236">
        <f t="shared" si="6"/>
        <v>0</v>
      </c>
      <c r="L236">
        <f t="shared" si="7"/>
        <v>0</v>
      </c>
    </row>
    <row r="237" spans="1:12" x14ac:dyDescent="0.35">
      <c r="A237">
        <v>239</v>
      </c>
      <c r="B237">
        <f>IF(ISBLANK(INDEX('Milestone Tracker – IHP'!$B:$B,239)),B236,INDEX('Milestone Tracker – IHP'!$B:$B,239))</f>
        <v>0</v>
      </c>
      <c r="C237">
        <f>IF(ISBLANK(INDEX('Milestone Tracker – IHP'!$C:$C,239)),C236,INDEX('Milestone Tracker – IHP'!$C:$C,239))</f>
        <v>0</v>
      </c>
      <c r="D237">
        <f>IF(ISBLANK(INDEX('Milestone Tracker – IHP'!$D:$D,239)),D236,INDEX('Milestone Tracker – IHP'!$D:$D,239))</f>
        <v>0</v>
      </c>
      <c r="E237" t="str">
        <f>IF(ISBLANK(INDEX('Milestone Tracker – IHP'!$E:$E,239)),"",INDEX('Milestone Tracker – IHP'!$E:$E,239))</f>
        <v/>
      </c>
      <c r="F237" t="str">
        <f>IF(ISBLANK(INDEX('Milestone Tracker – IHP'!$F:$F,239)),"",INDEX('Milestone Tracker – IHP'!$F:$F,239))</f>
        <v/>
      </c>
      <c r="G237" t="e">
        <f>IF(ISBLANK(INDEX('Milestone Tracker – IHP'!#REF!,239)),"",INDEX('Milestone Tracker – IHP'!#REF!,239))</f>
        <v>#REF!</v>
      </c>
      <c r="H237" t="str">
        <f>IF(ISBLANK(INDEX('Milestone Tracker – IHP'!$G:$G,239)),"",INDEX('Milestone Tracker – IHP'!$G:$G,239))</f>
        <v/>
      </c>
      <c r="I237" t="str">
        <f>IF(ISBLANK(INDEX('Milestone Tracker – IHP'!$H:$H,239)),"",INDEX('Milestone Tracker – IHP'!$H:$H,239))</f>
        <v/>
      </c>
      <c r="J237" t="e">
        <f>IF(ISBLANK(INDEX('Milestone Tracker – IHP'!#REF!,239)),"",INDEX('Milestone Tracker – IHP'!#REF!,239))</f>
        <v>#REF!</v>
      </c>
      <c r="K237">
        <f t="shared" si="6"/>
        <v>0</v>
      </c>
      <c r="L237">
        <f t="shared" si="7"/>
        <v>0</v>
      </c>
    </row>
    <row r="238" spans="1:12" x14ac:dyDescent="0.35">
      <c r="A238">
        <v>240</v>
      </c>
      <c r="B238">
        <f>IF(ISBLANK(INDEX('Milestone Tracker – IHP'!$B:$B,240)),B237,INDEX('Milestone Tracker – IHP'!$B:$B,240))</f>
        <v>0</v>
      </c>
      <c r="C238">
        <f>IF(ISBLANK(INDEX('Milestone Tracker – IHP'!$C:$C,240)),C237,INDEX('Milestone Tracker – IHP'!$C:$C,240))</f>
        <v>0</v>
      </c>
      <c r="D238">
        <f>IF(ISBLANK(INDEX('Milestone Tracker – IHP'!$D:$D,240)),D237,INDEX('Milestone Tracker – IHP'!$D:$D,240))</f>
        <v>0</v>
      </c>
      <c r="E238" t="str">
        <f>IF(ISBLANK(INDEX('Milestone Tracker – IHP'!$E:$E,240)),"",INDEX('Milestone Tracker – IHP'!$E:$E,240))</f>
        <v/>
      </c>
      <c r="F238" t="str">
        <f>IF(ISBLANK(INDEX('Milestone Tracker – IHP'!$F:$F,240)),"",INDEX('Milestone Tracker – IHP'!$F:$F,240))</f>
        <v/>
      </c>
      <c r="G238" t="e">
        <f>IF(ISBLANK(INDEX('Milestone Tracker – IHP'!#REF!,240)),"",INDEX('Milestone Tracker – IHP'!#REF!,240))</f>
        <v>#REF!</v>
      </c>
      <c r="H238" t="str">
        <f>IF(ISBLANK(INDEX('Milestone Tracker – IHP'!$G:$G,240)),"",INDEX('Milestone Tracker – IHP'!$G:$G,240))</f>
        <v/>
      </c>
      <c r="I238" t="str">
        <f>IF(ISBLANK(INDEX('Milestone Tracker – IHP'!$H:$H,240)),"",INDEX('Milestone Tracker – IHP'!$H:$H,240))</f>
        <v/>
      </c>
      <c r="J238" t="e">
        <f>IF(ISBLANK(INDEX('Milestone Tracker – IHP'!#REF!,240)),"",INDEX('Milestone Tracker – IHP'!#REF!,240))</f>
        <v>#REF!</v>
      </c>
      <c r="K238">
        <f t="shared" si="6"/>
        <v>0</v>
      </c>
      <c r="L238">
        <f t="shared" si="7"/>
        <v>0</v>
      </c>
    </row>
    <row r="239" spans="1:12" x14ac:dyDescent="0.35">
      <c r="A239">
        <v>241</v>
      </c>
      <c r="B239">
        <f>IF(ISBLANK(INDEX('Milestone Tracker – IHP'!$B:$B,241)),B238,INDEX('Milestone Tracker – IHP'!$B:$B,241))</f>
        <v>0</v>
      </c>
      <c r="C239">
        <f>IF(ISBLANK(INDEX('Milestone Tracker – IHP'!$C:$C,241)),C238,INDEX('Milestone Tracker – IHP'!$C:$C,241))</f>
        <v>0</v>
      </c>
      <c r="D239">
        <f>IF(ISBLANK(INDEX('Milestone Tracker – IHP'!$D:$D,241)),D238,INDEX('Milestone Tracker – IHP'!$D:$D,241))</f>
        <v>0</v>
      </c>
      <c r="E239" t="str">
        <f>IF(ISBLANK(INDEX('Milestone Tracker – IHP'!$E:$E,241)),"",INDEX('Milestone Tracker – IHP'!$E:$E,241))</f>
        <v/>
      </c>
      <c r="F239" t="str">
        <f>IF(ISBLANK(INDEX('Milestone Tracker – IHP'!$F:$F,241)),"",INDEX('Milestone Tracker – IHP'!$F:$F,241))</f>
        <v/>
      </c>
      <c r="G239" t="e">
        <f>IF(ISBLANK(INDEX('Milestone Tracker – IHP'!#REF!,241)),"",INDEX('Milestone Tracker – IHP'!#REF!,241))</f>
        <v>#REF!</v>
      </c>
      <c r="H239" t="str">
        <f>IF(ISBLANK(INDEX('Milestone Tracker – IHP'!$G:$G,241)),"",INDEX('Milestone Tracker – IHP'!$G:$G,241))</f>
        <v/>
      </c>
      <c r="I239" t="str">
        <f>IF(ISBLANK(INDEX('Milestone Tracker – IHP'!$H:$H,241)),"",INDEX('Milestone Tracker – IHP'!$H:$H,241))</f>
        <v/>
      </c>
      <c r="J239" t="e">
        <f>IF(ISBLANK(INDEX('Milestone Tracker – IHP'!#REF!,241)),"",INDEX('Milestone Tracker – IHP'!#REF!,241))</f>
        <v>#REF!</v>
      </c>
      <c r="K239">
        <f t="shared" si="6"/>
        <v>0</v>
      </c>
      <c r="L239">
        <f t="shared" si="7"/>
        <v>0</v>
      </c>
    </row>
    <row r="240" spans="1:12" x14ac:dyDescent="0.35">
      <c r="A240">
        <v>242</v>
      </c>
      <c r="B240">
        <f>IF(ISBLANK(INDEX('Milestone Tracker – IHP'!$B:$B,242)),B239,INDEX('Milestone Tracker – IHP'!$B:$B,242))</f>
        <v>0</v>
      </c>
      <c r="C240">
        <f>IF(ISBLANK(INDEX('Milestone Tracker – IHP'!$C:$C,242)),C239,INDEX('Milestone Tracker – IHP'!$C:$C,242))</f>
        <v>0</v>
      </c>
      <c r="D240">
        <f>IF(ISBLANK(INDEX('Milestone Tracker – IHP'!$D:$D,242)),D239,INDEX('Milestone Tracker – IHP'!$D:$D,242))</f>
        <v>0</v>
      </c>
      <c r="E240" t="str">
        <f>IF(ISBLANK(INDEX('Milestone Tracker – IHP'!$E:$E,242)),"",INDEX('Milestone Tracker – IHP'!$E:$E,242))</f>
        <v/>
      </c>
      <c r="F240" t="str">
        <f>IF(ISBLANK(INDEX('Milestone Tracker – IHP'!$F:$F,242)),"",INDEX('Milestone Tracker – IHP'!$F:$F,242))</f>
        <v/>
      </c>
      <c r="G240" t="e">
        <f>IF(ISBLANK(INDEX('Milestone Tracker – IHP'!#REF!,242)),"",INDEX('Milestone Tracker – IHP'!#REF!,242))</f>
        <v>#REF!</v>
      </c>
      <c r="H240" t="str">
        <f>IF(ISBLANK(INDEX('Milestone Tracker – IHP'!$G:$G,242)),"",INDEX('Milestone Tracker – IHP'!$G:$G,242))</f>
        <v/>
      </c>
      <c r="I240" t="str">
        <f>IF(ISBLANK(INDEX('Milestone Tracker – IHP'!$H:$H,242)),"",INDEX('Milestone Tracker – IHP'!$H:$H,242))</f>
        <v/>
      </c>
      <c r="J240" t="e">
        <f>IF(ISBLANK(INDEX('Milestone Tracker – IHP'!#REF!,242)),"",INDEX('Milestone Tracker – IHP'!#REF!,242))</f>
        <v>#REF!</v>
      </c>
      <c r="K240">
        <f t="shared" si="6"/>
        <v>0</v>
      </c>
      <c r="L240">
        <f t="shared" si="7"/>
        <v>0</v>
      </c>
    </row>
    <row r="241" spans="1:12" x14ac:dyDescent="0.35">
      <c r="A241">
        <v>243</v>
      </c>
      <c r="B241">
        <f>IF(ISBLANK(INDEX('Milestone Tracker – IHP'!$B:$B,243)),B240,INDEX('Milestone Tracker – IHP'!$B:$B,243))</f>
        <v>0</v>
      </c>
      <c r="C241">
        <f>IF(ISBLANK(INDEX('Milestone Tracker – IHP'!$C:$C,243)),C240,INDEX('Milestone Tracker – IHP'!$C:$C,243))</f>
        <v>0</v>
      </c>
      <c r="D241">
        <f>IF(ISBLANK(INDEX('Milestone Tracker – IHP'!$D:$D,243)),D240,INDEX('Milestone Tracker – IHP'!$D:$D,243))</f>
        <v>0</v>
      </c>
      <c r="E241" t="str">
        <f>IF(ISBLANK(INDEX('Milestone Tracker – IHP'!$E:$E,243)),"",INDEX('Milestone Tracker – IHP'!$E:$E,243))</f>
        <v/>
      </c>
      <c r="F241" t="str">
        <f>IF(ISBLANK(INDEX('Milestone Tracker – IHP'!$F:$F,243)),"",INDEX('Milestone Tracker – IHP'!$F:$F,243))</f>
        <v/>
      </c>
      <c r="G241" t="e">
        <f>IF(ISBLANK(INDEX('Milestone Tracker – IHP'!#REF!,243)),"",INDEX('Milestone Tracker – IHP'!#REF!,243))</f>
        <v>#REF!</v>
      </c>
      <c r="H241" t="str">
        <f>IF(ISBLANK(INDEX('Milestone Tracker – IHP'!$G:$G,243)),"",INDEX('Milestone Tracker – IHP'!$G:$G,243))</f>
        <v/>
      </c>
      <c r="I241" t="str">
        <f>IF(ISBLANK(INDEX('Milestone Tracker – IHP'!$H:$H,243)),"",INDEX('Milestone Tracker – IHP'!$H:$H,243))</f>
        <v/>
      </c>
      <c r="J241" t="e">
        <f>IF(ISBLANK(INDEX('Milestone Tracker – IHP'!#REF!,243)),"",INDEX('Milestone Tracker – IHP'!#REF!,243))</f>
        <v>#REF!</v>
      </c>
      <c r="K241">
        <f t="shared" si="6"/>
        <v>0</v>
      </c>
      <c r="L241">
        <f t="shared" si="7"/>
        <v>0</v>
      </c>
    </row>
    <row r="242" spans="1:12" x14ac:dyDescent="0.35">
      <c r="A242">
        <v>244</v>
      </c>
      <c r="B242">
        <f>IF(ISBLANK(INDEX('Milestone Tracker – IHP'!$B:$B,244)),B241,INDEX('Milestone Tracker – IHP'!$B:$B,244))</f>
        <v>0</v>
      </c>
      <c r="C242">
        <f>IF(ISBLANK(INDEX('Milestone Tracker – IHP'!$C:$C,244)),C241,INDEX('Milestone Tracker – IHP'!$C:$C,244))</f>
        <v>0</v>
      </c>
      <c r="D242">
        <f>IF(ISBLANK(INDEX('Milestone Tracker – IHP'!$D:$D,244)),D241,INDEX('Milestone Tracker – IHP'!$D:$D,244))</f>
        <v>0</v>
      </c>
      <c r="E242" t="str">
        <f>IF(ISBLANK(INDEX('Milestone Tracker – IHP'!$E:$E,244)),"",INDEX('Milestone Tracker – IHP'!$E:$E,244))</f>
        <v/>
      </c>
      <c r="F242" t="str">
        <f>IF(ISBLANK(INDEX('Milestone Tracker – IHP'!$F:$F,244)),"",INDEX('Milestone Tracker – IHP'!$F:$F,244))</f>
        <v/>
      </c>
      <c r="G242" t="e">
        <f>IF(ISBLANK(INDEX('Milestone Tracker – IHP'!#REF!,244)),"",INDEX('Milestone Tracker – IHP'!#REF!,244))</f>
        <v>#REF!</v>
      </c>
      <c r="H242" t="str">
        <f>IF(ISBLANK(INDEX('Milestone Tracker – IHP'!$G:$G,244)),"",INDEX('Milestone Tracker – IHP'!$G:$G,244))</f>
        <v/>
      </c>
      <c r="I242" t="str">
        <f>IF(ISBLANK(INDEX('Milestone Tracker – IHP'!$H:$H,244)),"",INDEX('Milestone Tracker – IHP'!$H:$H,244))</f>
        <v/>
      </c>
      <c r="J242" t="e">
        <f>IF(ISBLANK(INDEX('Milestone Tracker – IHP'!#REF!,244)),"",INDEX('Milestone Tracker – IHP'!#REF!,244))</f>
        <v>#REF!</v>
      </c>
      <c r="K242">
        <f t="shared" si="6"/>
        <v>0</v>
      </c>
      <c r="L242">
        <f t="shared" si="7"/>
        <v>0</v>
      </c>
    </row>
    <row r="243" spans="1:12" x14ac:dyDescent="0.35">
      <c r="A243">
        <v>245</v>
      </c>
      <c r="B243">
        <f>IF(ISBLANK(INDEX('Milestone Tracker – IHP'!$B:$B,245)),B242,INDEX('Milestone Tracker – IHP'!$B:$B,245))</f>
        <v>0</v>
      </c>
      <c r="C243">
        <f>IF(ISBLANK(INDEX('Milestone Tracker – IHP'!$C:$C,245)),C242,INDEX('Milestone Tracker – IHP'!$C:$C,245))</f>
        <v>0</v>
      </c>
      <c r="D243">
        <f>IF(ISBLANK(INDEX('Milestone Tracker – IHP'!$D:$D,245)),D242,INDEX('Milestone Tracker – IHP'!$D:$D,245))</f>
        <v>0</v>
      </c>
      <c r="E243" t="str">
        <f>IF(ISBLANK(INDEX('Milestone Tracker – IHP'!$E:$E,245)),"",INDEX('Milestone Tracker – IHP'!$E:$E,245))</f>
        <v/>
      </c>
      <c r="F243" t="str">
        <f>IF(ISBLANK(INDEX('Milestone Tracker – IHP'!$F:$F,245)),"",INDEX('Milestone Tracker – IHP'!$F:$F,245))</f>
        <v/>
      </c>
      <c r="G243" t="e">
        <f>IF(ISBLANK(INDEX('Milestone Tracker – IHP'!#REF!,245)),"",INDEX('Milestone Tracker – IHP'!#REF!,245))</f>
        <v>#REF!</v>
      </c>
      <c r="H243" t="str">
        <f>IF(ISBLANK(INDEX('Milestone Tracker – IHP'!$G:$G,245)),"",INDEX('Milestone Tracker – IHP'!$G:$G,245))</f>
        <v/>
      </c>
      <c r="I243" t="str">
        <f>IF(ISBLANK(INDEX('Milestone Tracker – IHP'!$H:$H,245)),"",INDEX('Milestone Tracker – IHP'!$H:$H,245))</f>
        <v/>
      </c>
      <c r="J243" t="e">
        <f>IF(ISBLANK(INDEX('Milestone Tracker – IHP'!#REF!,245)),"",INDEX('Milestone Tracker – IHP'!#REF!,245))</f>
        <v>#REF!</v>
      </c>
      <c r="K243">
        <f t="shared" si="6"/>
        <v>0</v>
      </c>
      <c r="L243">
        <f t="shared" si="7"/>
        <v>0</v>
      </c>
    </row>
    <row r="244" spans="1:12" x14ac:dyDescent="0.35">
      <c r="A244">
        <v>246</v>
      </c>
      <c r="B244">
        <f>IF(ISBLANK(INDEX('Milestone Tracker – IHP'!$B:$B,246)),B243,INDEX('Milestone Tracker – IHP'!$B:$B,246))</f>
        <v>0</v>
      </c>
      <c r="C244">
        <f>IF(ISBLANK(INDEX('Milestone Tracker – IHP'!$C:$C,246)),C243,INDEX('Milestone Tracker – IHP'!$C:$C,246))</f>
        <v>0</v>
      </c>
      <c r="D244">
        <f>IF(ISBLANK(INDEX('Milestone Tracker – IHP'!$D:$D,246)),D243,INDEX('Milestone Tracker – IHP'!$D:$D,246))</f>
        <v>0</v>
      </c>
      <c r="E244" t="str">
        <f>IF(ISBLANK(INDEX('Milestone Tracker – IHP'!$E:$E,246)),"",INDEX('Milestone Tracker – IHP'!$E:$E,246))</f>
        <v/>
      </c>
      <c r="F244" t="str">
        <f>IF(ISBLANK(INDEX('Milestone Tracker – IHP'!$F:$F,246)),"",INDEX('Milestone Tracker – IHP'!$F:$F,246))</f>
        <v/>
      </c>
      <c r="G244" t="e">
        <f>IF(ISBLANK(INDEX('Milestone Tracker – IHP'!#REF!,246)),"",INDEX('Milestone Tracker – IHP'!#REF!,246))</f>
        <v>#REF!</v>
      </c>
      <c r="H244" t="str">
        <f>IF(ISBLANK(INDEX('Milestone Tracker – IHP'!$G:$G,246)),"",INDEX('Milestone Tracker – IHP'!$G:$G,246))</f>
        <v/>
      </c>
      <c r="I244" t="str">
        <f>IF(ISBLANK(INDEX('Milestone Tracker – IHP'!$H:$H,246)),"",INDEX('Milestone Tracker – IHP'!$H:$H,246))</f>
        <v/>
      </c>
      <c r="J244" t="e">
        <f>IF(ISBLANK(INDEX('Milestone Tracker – IHP'!#REF!,246)),"",INDEX('Milestone Tracker – IHP'!#REF!,246))</f>
        <v>#REF!</v>
      </c>
      <c r="K244">
        <f t="shared" si="6"/>
        <v>0</v>
      </c>
      <c r="L244">
        <f t="shared" si="7"/>
        <v>0</v>
      </c>
    </row>
    <row r="245" spans="1:12" x14ac:dyDescent="0.35">
      <c r="A245">
        <v>247</v>
      </c>
      <c r="B245">
        <f>IF(ISBLANK(INDEX('Milestone Tracker – IHP'!$B:$B,247)),B244,INDEX('Milestone Tracker – IHP'!$B:$B,247))</f>
        <v>0</v>
      </c>
      <c r="C245">
        <f>IF(ISBLANK(INDEX('Milestone Tracker – IHP'!$C:$C,247)),C244,INDEX('Milestone Tracker – IHP'!$C:$C,247))</f>
        <v>0</v>
      </c>
      <c r="D245">
        <f>IF(ISBLANK(INDEX('Milestone Tracker – IHP'!$D:$D,247)),D244,INDEX('Milestone Tracker – IHP'!$D:$D,247))</f>
        <v>0</v>
      </c>
      <c r="E245" t="str">
        <f>IF(ISBLANK(INDEX('Milestone Tracker – IHP'!$E:$E,247)),"",INDEX('Milestone Tracker – IHP'!$E:$E,247))</f>
        <v/>
      </c>
      <c r="F245" t="str">
        <f>IF(ISBLANK(INDEX('Milestone Tracker – IHP'!$F:$F,247)),"",INDEX('Milestone Tracker – IHP'!$F:$F,247))</f>
        <v/>
      </c>
      <c r="G245" t="e">
        <f>IF(ISBLANK(INDEX('Milestone Tracker – IHP'!#REF!,247)),"",INDEX('Milestone Tracker – IHP'!#REF!,247))</f>
        <v>#REF!</v>
      </c>
      <c r="H245" t="str">
        <f>IF(ISBLANK(INDEX('Milestone Tracker – IHP'!$G:$G,247)),"",INDEX('Milestone Tracker – IHP'!$G:$G,247))</f>
        <v/>
      </c>
      <c r="I245" t="str">
        <f>IF(ISBLANK(INDEX('Milestone Tracker – IHP'!$H:$H,247)),"",INDEX('Milestone Tracker – IHP'!$H:$H,247))</f>
        <v/>
      </c>
      <c r="J245" t="e">
        <f>IF(ISBLANK(INDEX('Milestone Tracker – IHP'!#REF!,247)),"",INDEX('Milestone Tracker – IHP'!#REF!,247))</f>
        <v>#REF!</v>
      </c>
      <c r="K245">
        <f t="shared" si="6"/>
        <v>0</v>
      </c>
      <c r="L245">
        <f t="shared" si="7"/>
        <v>0</v>
      </c>
    </row>
    <row r="246" spans="1:12" x14ac:dyDescent="0.35">
      <c r="A246">
        <v>248</v>
      </c>
      <c r="B246">
        <f>IF(ISBLANK(INDEX('Milestone Tracker – IHP'!$B:$B,248)),B245,INDEX('Milestone Tracker – IHP'!$B:$B,248))</f>
        <v>0</v>
      </c>
      <c r="C246">
        <f>IF(ISBLANK(INDEX('Milestone Tracker – IHP'!$C:$C,248)),C245,INDEX('Milestone Tracker – IHP'!$C:$C,248))</f>
        <v>0</v>
      </c>
      <c r="D246">
        <f>IF(ISBLANK(INDEX('Milestone Tracker – IHP'!$D:$D,248)),D245,INDEX('Milestone Tracker – IHP'!$D:$D,248))</f>
        <v>0</v>
      </c>
      <c r="E246" t="str">
        <f>IF(ISBLANK(INDEX('Milestone Tracker – IHP'!$E:$E,248)),"",INDEX('Milestone Tracker – IHP'!$E:$E,248))</f>
        <v/>
      </c>
      <c r="F246" t="str">
        <f>IF(ISBLANK(INDEX('Milestone Tracker – IHP'!$F:$F,248)),"",INDEX('Milestone Tracker – IHP'!$F:$F,248))</f>
        <v/>
      </c>
      <c r="G246" t="e">
        <f>IF(ISBLANK(INDEX('Milestone Tracker – IHP'!#REF!,248)),"",INDEX('Milestone Tracker – IHP'!#REF!,248))</f>
        <v>#REF!</v>
      </c>
      <c r="H246" t="str">
        <f>IF(ISBLANK(INDEX('Milestone Tracker – IHP'!$G:$G,248)),"",INDEX('Milestone Tracker – IHP'!$G:$G,248))</f>
        <v/>
      </c>
      <c r="I246" t="str">
        <f>IF(ISBLANK(INDEX('Milestone Tracker – IHP'!$H:$H,248)),"",INDEX('Milestone Tracker – IHP'!$H:$H,248))</f>
        <v/>
      </c>
      <c r="J246" t="e">
        <f>IF(ISBLANK(INDEX('Milestone Tracker – IHP'!#REF!,248)),"",INDEX('Milestone Tracker – IHP'!#REF!,248))</f>
        <v>#REF!</v>
      </c>
      <c r="K246">
        <f t="shared" si="6"/>
        <v>0</v>
      </c>
      <c r="L246">
        <f t="shared" si="7"/>
        <v>0</v>
      </c>
    </row>
    <row r="247" spans="1:12" x14ac:dyDescent="0.35">
      <c r="A247">
        <v>249</v>
      </c>
      <c r="B247">
        <f>IF(ISBLANK(INDEX('Milestone Tracker – IHP'!$B:$B,249)),B246,INDEX('Milestone Tracker – IHP'!$B:$B,249))</f>
        <v>0</v>
      </c>
      <c r="C247">
        <f>IF(ISBLANK(INDEX('Milestone Tracker – IHP'!$C:$C,249)),C246,INDEX('Milestone Tracker – IHP'!$C:$C,249))</f>
        <v>0</v>
      </c>
      <c r="D247">
        <f>IF(ISBLANK(INDEX('Milestone Tracker – IHP'!$D:$D,249)),D246,INDEX('Milestone Tracker – IHP'!$D:$D,249))</f>
        <v>0</v>
      </c>
      <c r="E247" t="str">
        <f>IF(ISBLANK(INDEX('Milestone Tracker – IHP'!$E:$E,249)),"",INDEX('Milestone Tracker – IHP'!$E:$E,249))</f>
        <v/>
      </c>
      <c r="F247" t="str">
        <f>IF(ISBLANK(INDEX('Milestone Tracker – IHP'!$F:$F,249)),"",INDEX('Milestone Tracker – IHP'!$F:$F,249))</f>
        <v/>
      </c>
      <c r="G247" t="e">
        <f>IF(ISBLANK(INDEX('Milestone Tracker – IHP'!#REF!,249)),"",INDEX('Milestone Tracker – IHP'!#REF!,249))</f>
        <v>#REF!</v>
      </c>
      <c r="H247" t="str">
        <f>IF(ISBLANK(INDEX('Milestone Tracker – IHP'!$G:$G,249)),"",INDEX('Milestone Tracker – IHP'!$G:$G,249))</f>
        <v/>
      </c>
      <c r="I247" t="str">
        <f>IF(ISBLANK(INDEX('Milestone Tracker – IHP'!$H:$H,249)),"",INDEX('Milestone Tracker – IHP'!$H:$H,249))</f>
        <v/>
      </c>
      <c r="J247" t="e">
        <f>IF(ISBLANK(INDEX('Milestone Tracker – IHP'!#REF!,249)),"",INDEX('Milestone Tracker – IHP'!#REF!,249))</f>
        <v>#REF!</v>
      </c>
      <c r="K247">
        <f t="shared" si="6"/>
        <v>0</v>
      </c>
      <c r="L247">
        <f t="shared" si="7"/>
        <v>0</v>
      </c>
    </row>
    <row r="248" spans="1:12" x14ac:dyDescent="0.35">
      <c r="A248">
        <v>250</v>
      </c>
      <c r="B248">
        <f>IF(ISBLANK(INDEX('Milestone Tracker – IHP'!$B:$B,250)),B247,INDEX('Milestone Tracker – IHP'!$B:$B,250))</f>
        <v>0</v>
      </c>
      <c r="C248">
        <f>IF(ISBLANK(INDEX('Milestone Tracker – IHP'!$C:$C,250)),C247,INDEX('Milestone Tracker – IHP'!$C:$C,250))</f>
        <v>0</v>
      </c>
      <c r="D248">
        <f>IF(ISBLANK(INDEX('Milestone Tracker – IHP'!$D:$D,250)),D247,INDEX('Milestone Tracker – IHP'!$D:$D,250))</f>
        <v>0</v>
      </c>
      <c r="E248" t="str">
        <f>IF(ISBLANK(INDEX('Milestone Tracker – IHP'!$E:$E,250)),"",INDEX('Milestone Tracker – IHP'!$E:$E,250))</f>
        <v/>
      </c>
      <c r="F248" t="str">
        <f>IF(ISBLANK(INDEX('Milestone Tracker – IHP'!$F:$F,250)),"",INDEX('Milestone Tracker – IHP'!$F:$F,250))</f>
        <v/>
      </c>
      <c r="G248" t="e">
        <f>IF(ISBLANK(INDEX('Milestone Tracker – IHP'!#REF!,250)),"",INDEX('Milestone Tracker – IHP'!#REF!,250))</f>
        <v>#REF!</v>
      </c>
      <c r="H248" t="str">
        <f>IF(ISBLANK(INDEX('Milestone Tracker – IHP'!$G:$G,250)),"",INDEX('Milestone Tracker – IHP'!$G:$G,250))</f>
        <v/>
      </c>
      <c r="I248" t="str">
        <f>IF(ISBLANK(INDEX('Milestone Tracker – IHP'!$H:$H,250)),"",INDEX('Milestone Tracker – IHP'!$H:$H,250))</f>
        <v/>
      </c>
      <c r="J248" t="e">
        <f>IF(ISBLANK(INDEX('Milestone Tracker – IHP'!#REF!,250)),"",INDEX('Milestone Tracker – IHP'!#REF!,250))</f>
        <v>#REF!</v>
      </c>
      <c r="K248">
        <f t="shared" si="6"/>
        <v>0</v>
      </c>
      <c r="L248">
        <f t="shared" si="7"/>
        <v>0</v>
      </c>
    </row>
    <row r="249" spans="1:12" x14ac:dyDescent="0.35">
      <c r="A249">
        <v>251</v>
      </c>
      <c r="B249">
        <f>IF(ISBLANK(INDEX('Milestone Tracker – IHP'!$B:$B,251)),B248,INDEX('Milestone Tracker – IHP'!$B:$B,251))</f>
        <v>0</v>
      </c>
      <c r="C249">
        <f>IF(ISBLANK(INDEX('Milestone Tracker – IHP'!$C:$C,251)),C248,INDEX('Milestone Tracker – IHP'!$C:$C,251))</f>
        <v>0</v>
      </c>
      <c r="D249">
        <f>IF(ISBLANK(INDEX('Milestone Tracker – IHP'!$D:$D,251)),D248,INDEX('Milestone Tracker – IHP'!$D:$D,251))</f>
        <v>0</v>
      </c>
      <c r="E249" t="str">
        <f>IF(ISBLANK(INDEX('Milestone Tracker – IHP'!$E:$E,251)),"",INDEX('Milestone Tracker – IHP'!$E:$E,251))</f>
        <v/>
      </c>
      <c r="F249" t="str">
        <f>IF(ISBLANK(INDEX('Milestone Tracker – IHP'!$F:$F,251)),"",INDEX('Milestone Tracker – IHP'!$F:$F,251))</f>
        <v/>
      </c>
      <c r="G249" t="e">
        <f>IF(ISBLANK(INDEX('Milestone Tracker – IHP'!#REF!,251)),"",INDEX('Milestone Tracker – IHP'!#REF!,251))</f>
        <v>#REF!</v>
      </c>
      <c r="H249" t="str">
        <f>IF(ISBLANK(INDEX('Milestone Tracker – IHP'!$G:$G,251)),"",INDEX('Milestone Tracker – IHP'!$G:$G,251))</f>
        <v/>
      </c>
      <c r="I249" t="str">
        <f>IF(ISBLANK(INDEX('Milestone Tracker – IHP'!$H:$H,251)),"",INDEX('Milestone Tracker – IHP'!$H:$H,251))</f>
        <v/>
      </c>
      <c r="J249" t="e">
        <f>IF(ISBLANK(INDEX('Milestone Tracker – IHP'!#REF!,251)),"",INDEX('Milestone Tracker – IHP'!#REF!,251))</f>
        <v>#REF!</v>
      </c>
      <c r="K249">
        <f t="shared" si="6"/>
        <v>0</v>
      </c>
      <c r="L249">
        <f t="shared" si="7"/>
        <v>0</v>
      </c>
    </row>
    <row r="250" spans="1:12" x14ac:dyDescent="0.35">
      <c r="A250">
        <v>252</v>
      </c>
      <c r="B250">
        <f>IF(ISBLANK(INDEX('Milestone Tracker – IHP'!$B:$B,252)),B249,INDEX('Milestone Tracker – IHP'!$B:$B,252))</f>
        <v>0</v>
      </c>
      <c r="C250">
        <f>IF(ISBLANK(INDEX('Milestone Tracker – IHP'!$C:$C,252)),C249,INDEX('Milestone Tracker – IHP'!$C:$C,252))</f>
        <v>0</v>
      </c>
      <c r="D250">
        <f>IF(ISBLANK(INDEX('Milestone Tracker – IHP'!$D:$D,252)),D249,INDEX('Milestone Tracker – IHP'!$D:$D,252))</f>
        <v>0</v>
      </c>
      <c r="E250" t="str">
        <f>IF(ISBLANK(INDEX('Milestone Tracker – IHP'!$E:$E,252)),"",INDEX('Milestone Tracker – IHP'!$E:$E,252))</f>
        <v/>
      </c>
      <c r="F250" t="str">
        <f>IF(ISBLANK(INDEX('Milestone Tracker – IHP'!$F:$F,252)),"",INDEX('Milestone Tracker – IHP'!$F:$F,252))</f>
        <v/>
      </c>
      <c r="G250" t="e">
        <f>IF(ISBLANK(INDEX('Milestone Tracker – IHP'!#REF!,252)),"",INDEX('Milestone Tracker – IHP'!#REF!,252))</f>
        <v>#REF!</v>
      </c>
      <c r="H250" t="str">
        <f>IF(ISBLANK(INDEX('Milestone Tracker – IHP'!$G:$G,252)),"",INDEX('Milestone Tracker – IHP'!$G:$G,252))</f>
        <v/>
      </c>
      <c r="I250" t="str">
        <f>IF(ISBLANK(INDEX('Milestone Tracker – IHP'!$H:$H,252)),"",INDEX('Milestone Tracker – IHP'!$H:$H,252))</f>
        <v/>
      </c>
      <c r="J250" t="e">
        <f>IF(ISBLANK(INDEX('Milestone Tracker – IHP'!#REF!,252)),"",INDEX('Milestone Tracker – IHP'!#REF!,252))</f>
        <v>#REF!</v>
      </c>
      <c r="K250">
        <f t="shared" si="6"/>
        <v>0</v>
      </c>
      <c r="L250">
        <f t="shared" si="7"/>
        <v>0</v>
      </c>
    </row>
    <row r="251" spans="1:12" x14ac:dyDescent="0.35">
      <c r="A251">
        <v>253</v>
      </c>
      <c r="B251">
        <f>IF(ISBLANK(INDEX('Milestone Tracker – IHP'!$B:$B,253)),B250,INDEX('Milestone Tracker – IHP'!$B:$B,253))</f>
        <v>0</v>
      </c>
      <c r="C251">
        <f>IF(ISBLANK(INDEX('Milestone Tracker – IHP'!$C:$C,253)),C250,INDEX('Milestone Tracker – IHP'!$C:$C,253))</f>
        <v>0</v>
      </c>
      <c r="D251">
        <f>IF(ISBLANK(INDEX('Milestone Tracker – IHP'!$D:$D,253)),D250,INDEX('Milestone Tracker – IHP'!$D:$D,253))</f>
        <v>0</v>
      </c>
      <c r="E251" t="str">
        <f>IF(ISBLANK(INDEX('Milestone Tracker – IHP'!$E:$E,253)),"",INDEX('Milestone Tracker – IHP'!$E:$E,253))</f>
        <v/>
      </c>
      <c r="F251" t="str">
        <f>IF(ISBLANK(INDEX('Milestone Tracker – IHP'!$F:$F,253)),"",INDEX('Milestone Tracker – IHP'!$F:$F,253))</f>
        <v/>
      </c>
      <c r="G251" t="e">
        <f>IF(ISBLANK(INDEX('Milestone Tracker – IHP'!#REF!,253)),"",INDEX('Milestone Tracker – IHP'!#REF!,253))</f>
        <v>#REF!</v>
      </c>
      <c r="H251" t="str">
        <f>IF(ISBLANK(INDEX('Milestone Tracker – IHP'!$G:$G,253)),"",INDEX('Milestone Tracker – IHP'!$G:$G,253))</f>
        <v/>
      </c>
      <c r="I251" t="str">
        <f>IF(ISBLANK(INDEX('Milestone Tracker – IHP'!$H:$H,253)),"",INDEX('Milestone Tracker – IHP'!$H:$H,253))</f>
        <v/>
      </c>
      <c r="J251" t="e">
        <f>IF(ISBLANK(INDEX('Milestone Tracker – IHP'!#REF!,253)),"",INDEX('Milestone Tracker – IHP'!#REF!,253))</f>
        <v>#REF!</v>
      </c>
      <c r="K251">
        <f t="shared" si="6"/>
        <v>0</v>
      </c>
      <c r="L251">
        <f t="shared" si="7"/>
        <v>0</v>
      </c>
    </row>
    <row r="252" spans="1:12" x14ac:dyDescent="0.35">
      <c r="A252">
        <v>254</v>
      </c>
      <c r="B252">
        <f>IF(ISBLANK(INDEX('Milestone Tracker – IHP'!$B:$B,254)),B251,INDEX('Milestone Tracker – IHP'!$B:$B,254))</f>
        <v>0</v>
      </c>
      <c r="C252">
        <f>IF(ISBLANK(INDEX('Milestone Tracker – IHP'!$C:$C,254)),C251,INDEX('Milestone Tracker – IHP'!$C:$C,254))</f>
        <v>0</v>
      </c>
      <c r="D252">
        <f>IF(ISBLANK(INDEX('Milestone Tracker – IHP'!$D:$D,254)),D251,INDEX('Milestone Tracker – IHP'!$D:$D,254))</f>
        <v>0</v>
      </c>
      <c r="E252" t="str">
        <f>IF(ISBLANK(INDEX('Milestone Tracker – IHP'!$E:$E,254)),"",INDEX('Milestone Tracker – IHP'!$E:$E,254))</f>
        <v/>
      </c>
      <c r="F252" t="str">
        <f>IF(ISBLANK(INDEX('Milestone Tracker – IHP'!$F:$F,254)),"",INDEX('Milestone Tracker – IHP'!$F:$F,254))</f>
        <v/>
      </c>
      <c r="G252" t="e">
        <f>IF(ISBLANK(INDEX('Milestone Tracker – IHP'!#REF!,254)),"",INDEX('Milestone Tracker – IHP'!#REF!,254))</f>
        <v>#REF!</v>
      </c>
      <c r="H252" t="str">
        <f>IF(ISBLANK(INDEX('Milestone Tracker – IHP'!$G:$G,254)),"",INDEX('Milestone Tracker – IHP'!$G:$G,254))</f>
        <v/>
      </c>
      <c r="I252" t="str">
        <f>IF(ISBLANK(INDEX('Milestone Tracker – IHP'!$H:$H,254)),"",INDEX('Milestone Tracker – IHP'!$H:$H,254))</f>
        <v/>
      </c>
      <c r="J252" t="e">
        <f>IF(ISBLANK(INDEX('Milestone Tracker – IHP'!#REF!,254)),"",INDEX('Milestone Tracker – IHP'!#REF!,254))</f>
        <v>#REF!</v>
      </c>
      <c r="K252">
        <f t="shared" si="6"/>
        <v>0</v>
      </c>
      <c r="L252">
        <f t="shared" si="7"/>
        <v>0</v>
      </c>
    </row>
    <row r="253" spans="1:12" x14ac:dyDescent="0.35">
      <c r="A253">
        <v>255</v>
      </c>
      <c r="B253">
        <f>IF(ISBLANK(INDEX('Milestone Tracker – IHP'!$B:$B,255)),B252,INDEX('Milestone Tracker – IHP'!$B:$B,255))</f>
        <v>0</v>
      </c>
      <c r="C253">
        <f>IF(ISBLANK(INDEX('Milestone Tracker – IHP'!$C:$C,255)),C252,INDEX('Milestone Tracker – IHP'!$C:$C,255))</f>
        <v>0</v>
      </c>
      <c r="D253">
        <f>IF(ISBLANK(INDEX('Milestone Tracker – IHP'!$D:$D,255)),D252,INDEX('Milestone Tracker – IHP'!$D:$D,255))</f>
        <v>0</v>
      </c>
      <c r="E253" t="str">
        <f>IF(ISBLANK(INDEX('Milestone Tracker – IHP'!$E:$E,255)),"",INDEX('Milestone Tracker – IHP'!$E:$E,255))</f>
        <v/>
      </c>
      <c r="F253" t="str">
        <f>IF(ISBLANK(INDEX('Milestone Tracker – IHP'!$F:$F,255)),"",INDEX('Milestone Tracker – IHP'!$F:$F,255))</f>
        <v/>
      </c>
      <c r="G253" t="e">
        <f>IF(ISBLANK(INDEX('Milestone Tracker – IHP'!#REF!,255)),"",INDEX('Milestone Tracker – IHP'!#REF!,255))</f>
        <v>#REF!</v>
      </c>
      <c r="H253" t="str">
        <f>IF(ISBLANK(INDEX('Milestone Tracker – IHP'!$G:$G,255)),"",INDEX('Milestone Tracker – IHP'!$G:$G,255))</f>
        <v/>
      </c>
      <c r="I253" t="str">
        <f>IF(ISBLANK(INDEX('Milestone Tracker – IHP'!$H:$H,255)),"",INDEX('Milestone Tracker – IHP'!$H:$H,255))</f>
        <v/>
      </c>
      <c r="J253" t="e">
        <f>IF(ISBLANK(INDEX('Milestone Tracker – IHP'!#REF!,255)),"",INDEX('Milestone Tracker – IHP'!#REF!,255))</f>
        <v>#REF!</v>
      </c>
      <c r="K253">
        <f t="shared" si="6"/>
        <v>0</v>
      </c>
      <c r="L253">
        <f t="shared" si="7"/>
        <v>0</v>
      </c>
    </row>
    <row r="254" spans="1:12" x14ac:dyDescent="0.35">
      <c r="A254">
        <v>256</v>
      </c>
      <c r="B254">
        <f>IF(ISBLANK(INDEX('Milestone Tracker – IHP'!$B:$B,256)),B253,INDEX('Milestone Tracker – IHP'!$B:$B,256))</f>
        <v>0</v>
      </c>
      <c r="C254">
        <f>IF(ISBLANK(INDEX('Milestone Tracker – IHP'!$C:$C,256)),C253,INDEX('Milestone Tracker – IHP'!$C:$C,256))</f>
        <v>0</v>
      </c>
      <c r="D254">
        <f>IF(ISBLANK(INDEX('Milestone Tracker – IHP'!$D:$D,256)),D253,INDEX('Milestone Tracker – IHP'!$D:$D,256))</f>
        <v>0</v>
      </c>
      <c r="E254" t="str">
        <f>IF(ISBLANK(INDEX('Milestone Tracker – IHP'!$E:$E,256)),"",INDEX('Milestone Tracker – IHP'!$E:$E,256))</f>
        <v/>
      </c>
      <c r="F254" t="str">
        <f>IF(ISBLANK(INDEX('Milestone Tracker – IHP'!$F:$F,256)),"",INDEX('Milestone Tracker – IHP'!$F:$F,256))</f>
        <v/>
      </c>
      <c r="G254" t="e">
        <f>IF(ISBLANK(INDEX('Milestone Tracker – IHP'!#REF!,256)),"",INDEX('Milestone Tracker – IHP'!#REF!,256))</f>
        <v>#REF!</v>
      </c>
      <c r="H254" t="str">
        <f>IF(ISBLANK(INDEX('Milestone Tracker – IHP'!$G:$G,256)),"",INDEX('Milestone Tracker – IHP'!$G:$G,256))</f>
        <v/>
      </c>
      <c r="I254" t="str">
        <f>IF(ISBLANK(INDEX('Milestone Tracker – IHP'!$H:$H,256)),"",INDEX('Milestone Tracker – IHP'!$H:$H,256))</f>
        <v/>
      </c>
      <c r="J254" t="e">
        <f>IF(ISBLANK(INDEX('Milestone Tracker – IHP'!#REF!,256)),"",INDEX('Milestone Tracker – IHP'!#REF!,256))</f>
        <v>#REF!</v>
      </c>
      <c r="K254">
        <f t="shared" si="6"/>
        <v>0</v>
      </c>
      <c r="L254">
        <f t="shared" si="7"/>
        <v>0</v>
      </c>
    </row>
    <row r="255" spans="1:12" x14ac:dyDescent="0.35">
      <c r="A255">
        <v>257</v>
      </c>
      <c r="B255">
        <f>IF(ISBLANK(INDEX('Milestone Tracker – IHP'!$B:$B,257)),B254,INDEX('Milestone Tracker – IHP'!$B:$B,257))</f>
        <v>0</v>
      </c>
      <c r="C255">
        <f>IF(ISBLANK(INDEX('Milestone Tracker – IHP'!$C:$C,257)),C254,INDEX('Milestone Tracker – IHP'!$C:$C,257))</f>
        <v>0</v>
      </c>
      <c r="D255">
        <f>IF(ISBLANK(INDEX('Milestone Tracker – IHP'!$D:$D,257)),D254,INDEX('Milestone Tracker – IHP'!$D:$D,257))</f>
        <v>0</v>
      </c>
      <c r="E255" t="str">
        <f>IF(ISBLANK(INDEX('Milestone Tracker – IHP'!$E:$E,257)),"",INDEX('Milestone Tracker – IHP'!$E:$E,257))</f>
        <v/>
      </c>
      <c r="F255" t="str">
        <f>IF(ISBLANK(INDEX('Milestone Tracker – IHP'!$F:$F,257)),"",INDEX('Milestone Tracker – IHP'!$F:$F,257))</f>
        <v/>
      </c>
      <c r="G255" t="e">
        <f>IF(ISBLANK(INDEX('Milestone Tracker – IHP'!#REF!,257)),"",INDEX('Milestone Tracker – IHP'!#REF!,257))</f>
        <v>#REF!</v>
      </c>
      <c r="H255" t="str">
        <f>IF(ISBLANK(INDEX('Milestone Tracker – IHP'!$G:$G,257)),"",INDEX('Milestone Tracker – IHP'!$G:$G,257))</f>
        <v/>
      </c>
      <c r="I255" t="str">
        <f>IF(ISBLANK(INDEX('Milestone Tracker – IHP'!$H:$H,257)),"",INDEX('Milestone Tracker – IHP'!$H:$H,257))</f>
        <v/>
      </c>
      <c r="J255" t="e">
        <f>IF(ISBLANK(INDEX('Milestone Tracker – IHP'!#REF!,257)),"",INDEX('Milestone Tracker – IHP'!#REF!,257))</f>
        <v>#REF!</v>
      </c>
      <c r="K255">
        <f t="shared" si="6"/>
        <v>0</v>
      </c>
      <c r="L255">
        <f t="shared" si="7"/>
        <v>0</v>
      </c>
    </row>
    <row r="256" spans="1:12" x14ac:dyDescent="0.35">
      <c r="A256">
        <v>258</v>
      </c>
      <c r="B256">
        <f>IF(ISBLANK(INDEX('Milestone Tracker – IHP'!$B:$B,258)),B255,INDEX('Milestone Tracker – IHP'!$B:$B,258))</f>
        <v>0</v>
      </c>
      <c r="C256">
        <f>IF(ISBLANK(INDEX('Milestone Tracker – IHP'!$C:$C,258)),C255,INDEX('Milestone Tracker – IHP'!$C:$C,258))</f>
        <v>0</v>
      </c>
      <c r="D256">
        <f>IF(ISBLANK(INDEX('Milestone Tracker – IHP'!$D:$D,258)),D255,INDEX('Milestone Tracker – IHP'!$D:$D,258))</f>
        <v>0</v>
      </c>
      <c r="E256" t="str">
        <f>IF(ISBLANK(INDEX('Milestone Tracker – IHP'!$E:$E,258)),"",INDEX('Milestone Tracker – IHP'!$E:$E,258))</f>
        <v/>
      </c>
      <c r="F256" t="str">
        <f>IF(ISBLANK(INDEX('Milestone Tracker – IHP'!$F:$F,258)),"",INDEX('Milestone Tracker – IHP'!$F:$F,258))</f>
        <v/>
      </c>
      <c r="G256" t="e">
        <f>IF(ISBLANK(INDEX('Milestone Tracker – IHP'!#REF!,258)),"",INDEX('Milestone Tracker – IHP'!#REF!,258))</f>
        <v>#REF!</v>
      </c>
      <c r="H256" t="str">
        <f>IF(ISBLANK(INDEX('Milestone Tracker – IHP'!$G:$G,258)),"",INDEX('Milestone Tracker – IHP'!$G:$G,258))</f>
        <v/>
      </c>
      <c r="I256" t="str">
        <f>IF(ISBLANK(INDEX('Milestone Tracker – IHP'!$H:$H,258)),"",INDEX('Milestone Tracker – IHP'!$H:$H,258))</f>
        <v/>
      </c>
      <c r="J256" t="e">
        <f>IF(ISBLANK(INDEX('Milestone Tracker – IHP'!#REF!,258)),"",INDEX('Milestone Tracker – IHP'!#REF!,258))</f>
        <v>#REF!</v>
      </c>
      <c r="K256">
        <f t="shared" si="6"/>
        <v>0</v>
      </c>
      <c r="L256">
        <f t="shared" si="7"/>
        <v>0</v>
      </c>
    </row>
    <row r="257" spans="1:12" x14ac:dyDescent="0.35">
      <c r="A257">
        <v>259</v>
      </c>
      <c r="B257">
        <f>IF(ISBLANK(INDEX('Milestone Tracker – IHP'!$B:$B,259)),B256,INDEX('Milestone Tracker – IHP'!$B:$B,259))</f>
        <v>0</v>
      </c>
      <c r="C257">
        <f>IF(ISBLANK(INDEX('Milestone Tracker – IHP'!$C:$C,259)),C256,INDEX('Milestone Tracker – IHP'!$C:$C,259))</f>
        <v>0</v>
      </c>
      <c r="D257">
        <f>IF(ISBLANK(INDEX('Milestone Tracker – IHP'!$D:$D,259)),D256,INDEX('Milestone Tracker – IHP'!$D:$D,259))</f>
        <v>0</v>
      </c>
      <c r="E257" t="str">
        <f>IF(ISBLANK(INDEX('Milestone Tracker – IHP'!$E:$E,259)),"",INDEX('Milestone Tracker – IHP'!$E:$E,259))</f>
        <v/>
      </c>
      <c r="F257" t="str">
        <f>IF(ISBLANK(INDEX('Milestone Tracker – IHP'!$F:$F,259)),"",INDEX('Milestone Tracker – IHP'!$F:$F,259))</f>
        <v/>
      </c>
      <c r="G257" t="e">
        <f>IF(ISBLANK(INDEX('Milestone Tracker – IHP'!#REF!,259)),"",INDEX('Milestone Tracker – IHP'!#REF!,259))</f>
        <v>#REF!</v>
      </c>
      <c r="H257" t="str">
        <f>IF(ISBLANK(INDEX('Milestone Tracker – IHP'!$G:$G,259)),"",INDEX('Milestone Tracker – IHP'!$G:$G,259))</f>
        <v/>
      </c>
      <c r="I257" t="str">
        <f>IF(ISBLANK(INDEX('Milestone Tracker – IHP'!$H:$H,259)),"",INDEX('Milestone Tracker – IHP'!$H:$H,259))</f>
        <v/>
      </c>
      <c r="J257" t="e">
        <f>IF(ISBLANK(INDEX('Milestone Tracker – IHP'!#REF!,259)),"",INDEX('Milestone Tracker – IHP'!#REF!,259))</f>
        <v>#REF!</v>
      </c>
      <c r="K257">
        <f t="shared" si="6"/>
        <v>0</v>
      </c>
      <c r="L257">
        <f t="shared" si="7"/>
        <v>0</v>
      </c>
    </row>
    <row r="258" spans="1:12" x14ac:dyDescent="0.35">
      <c r="A258">
        <v>260</v>
      </c>
      <c r="B258">
        <f>IF(ISBLANK(INDEX('Milestone Tracker – IHP'!$B:$B,260)),B257,INDEX('Milestone Tracker – IHP'!$B:$B,260))</f>
        <v>0</v>
      </c>
      <c r="C258">
        <f>IF(ISBLANK(INDEX('Milestone Tracker – IHP'!$C:$C,260)),C257,INDEX('Milestone Tracker – IHP'!$C:$C,260))</f>
        <v>0</v>
      </c>
      <c r="D258">
        <f>IF(ISBLANK(INDEX('Milestone Tracker – IHP'!$D:$D,260)),D257,INDEX('Milestone Tracker – IHP'!$D:$D,260))</f>
        <v>0</v>
      </c>
      <c r="E258" t="str">
        <f>IF(ISBLANK(INDEX('Milestone Tracker – IHP'!$E:$E,260)),"",INDEX('Milestone Tracker – IHP'!$E:$E,260))</f>
        <v/>
      </c>
      <c r="F258" t="str">
        <f>IF(ISBLANK(INDEX('Milestone Tracker – IHP'!$F:$F,260)),"",INDEX('Milestone Tracker – IHP'!$F:$F,260))</f>
        <v/>
      </c>
      <c r="G258" t="e">
        <f>IF(ISBLANK(INDEX('Milestone Tracker – IHP'!#REF!,260)),"",INDEX('Milestone Tracker – IHP'!#REF!,260))</f>
        <v>#REF!</v>
      </c>
      <c r="H258" t="str">
        <f>IF(ISBLANK(INDEX('Milestone Tracker – IHP'!$G:$G,260)),"",INDEX('Milestone Tracker – IHP'!$G:$G,260))</f>
        <v/>
      </c>
      <c r="I258" t="str">
        <f>IF(ISBLANK(INDEX('Milestone Tracker – IHP'!$H:$H,260)),"",INDEX('Milestone Tracker – IHP'!$H:$H,260))</f>
        <v/>
      </c>
      <c r="J258" t="e">
        <f>IF(ISBLANK(INDEX('Milestone Tracker – IHP'!#REF!,260)),"",INDEX('Milestone Tracker – IHP'!#REF!,260))</f>
        <v>#REF!</v>
      </c>
      <c r="K258">
        <f t="shared" ref="K258:K321" si="8">IF(LEFT($E258,9)="Milestone",1,0)</f>
        <v>0</v>
      </c>
      <c r="L258">
        <f t="shared" ref="L258:L321" si="9">L257+K258</f>
        <v>0</v>
      </c>
    </row>
    <row r="259" spans="1:12" x14ac:dyDescent="0.35">
      <c r="A259">
        <v>4</v>
      </c>
      <c r="B259">
        <f>IF(ISBLANK(INDEX('Milestone Tracker – MENA'!$B:$B,4)),B258,INDEX('Milestone Tracker – MENA'!$B:$B,4))</f>
        <v>0</v>
      </c>
      <c r="C259">
        <f>IF(ISBLANK(INDEX('Milestone Tracker – MENA'!$C:$C,4)),C258,INDEX('Milestone Tracker – MENA'!$C:$C,4))</f>
        <v>0</v>
      </c>
      <c r="D259">
        <f>IF(ISBLANK(INDEX('Milestone Tracker – MENA'!$D:$D,4)),D258,INDEX('Milestone Tracker – MENA'!$D:$D,4))</f>
        <v>0</v>
      </c>
      <c r="E259" t="str">
        <f>IF(ISBLANK(INDEX('Milestone Tracker – MENA'!$E:$E,4)),"",INDEX('Milestone Tracker – MENA'!$E:$E,4))</f>
        <v/>
      </c>
      <c r="F259" t="str">
        <f>IF(ISBLANK(INDEX('Milestone Tracker – MENA'!$F:$F,4)),"",INDEX('Milestone Tracker – MENA'!$F:$F,4))</f>
        <v/>
      </c>
      <c r="G259" s="18" t="e">
        <f>IF(ISBLANK(INDEX('Milestone Tracker – MENA'!#REF!,4)),"",INDEX('Milestone Tracker – MENA'!#REF!,4))</f>
        <v>#REF!</v>
      </c>
      <c r="H259" t="str">
        <f>IF(ISBLANK(INDEX('Milestone Tracker – MENA'!$G:$G,4)),"",INDEX('Milestone Tracker – MENA'!$G:$G,4))</f>
        <v/>
      </c>
      <c r="I259" t="str">
        <f>IF(ISBLANK(INDEX('Milestone Tracker – MENA'!$H:$H,4)),"",INDEX('Milestone Tracker – MENA'!$H:$H,4))</f>
        <v/>
      </c>
      <c r="J259" s="18" t="e">
        <f>IF(ISBLANK(INDEX('Milestone Tracker – MENA'!#REF!,4)),"",INDEX('Milestone Tracker – MENA'!#REF!,4))</f>
        <v>#REF!</v>
      </c>
      <c r="K259">
        <f t="shared" si="8"/>
        <v>0</v>
      </c>
      <c r="L259">
        <f t="shared" si="9"/>
        <v>0</v>
      </c>
    </row>
    <row r="260" spans="1:12" x14ac:dyDescent="0.35">
      <c r="A260">
        <v>5</v>
      </c>
      <c r="B260">
        <f>IF(ISBLANK(INDEX('Milestone Tracker – MENA'!$B:$B,5)),B259,INDEX('Milestone Tracker – MENA'!$B:$B,5))</f>
        <v>0</v>
      </c>
      <c r="C260">
        <f>IF(ISBLANK(INDEX('Milestone Tracker – MENA'!$C:$C,5)),C259,INDEX('Milestone Tracker – MENA'!$C:$C,5))</f>
        <v>0</v>
      </c>
      <c r="D260">
        <f>IF(ISBLANK(INDEX('Milestone Tracker – MENA'!$D:$D,5)),D259,INDEX('Milestone Tracker – MENA'!$D:$D,5))</f>
        <v>0</v>
      </c>
      <c r="E260" t="str">
        <f>IF(ISBLANK(INDEX('Milestone Tracker – MENA'!$E:$E,5)),"",INDEX('Milestone Tracker – MENA'!$E:$E,5))</f>
        <v/>
      </c>
      <c r="F260" t="str">
        <f>IF(ISBLANK(INDEX('Milestone Tracker – MENA'!$F:$F,5)),"",INDEX('Milestone Tracker – MENA'!$F:$F,5))</f>
        <v/>
      </c>
      <c r="G260" s="18" t="e">
        <f>IF(ISBLANK(INDEX('Milestone Tracker – MENA'!#REF!,5)),"",INDEX('Milestone Tracker – MENA'!#REF!,5))</f>
        <v>#REF!</v>
      </c>
      <c r="H260" s="19" t="str">
        <f>IF(ISBLANK(INDEX('Milestone Tracker – MENA'!$G:$G,5)),"",INDEX('Milestone Tracker – MENA'!$G:$G,5))</f>
        <v/>
      </c>
      <c r="I260" s="19" t="str">
        <f>IF(ISBLANK(INDEX('Milestone Tracker – MENA'!$H:$H,5)),"",INDEX('Milestone Tracker – MENA'!$H:$H,5))</f>
        <v/>
      </c>
      <c r="J260" s="19" t="e">
        <f>IF(ISBLANK(INDEX('Milestone Tracker – MENA'!#REF!,5)),"",INDEX('Milestone Tracker – MENA'!#REF!,5))</f>
        <v>#REF!</v>
      </c>
      <c r="K260">
        <f t="shared" si="8"/>
        <v>0</v>
      </c>
      <c r="L260">
        <f t="shared" si="9"/>
        <v>0</v>
      </c>
    </row>
    <row r="261" spans="1:12" x14ac:dyDescent="0.35">
      <c r="A261">
        <v>6</v>
      </c>
      <c r="B261">
        <f>IF(ISBLANK(INDEX('Milestone Tracker – MENA'!$B:$B,6)),B260,INDEX('Milestone Tracker – MENA'!$B:$B,6))</f>
        <v>0</v>
      </c>
      <c r="C261">
        <f>IF(ISBLANK(INDEX('Milestone Tracker – MENA'!$C:$C,6)),C260,INDEX('Milestone Tracker – MENA'!$C:$C,6))</f>
        <v>0</v>
      </c>
      <c r="D261">
        <f>IF(ISBLANK(INDEX('Milestone Tracker – MENA'!$D:$D,6)),D260,INDEX('Milestone Tracker – MENA'!$D:$D,6))</f>
        <v>0</v>
      </c>
      <c r="E261" t="str">
        <f>IF(ISBLANK(INDEX('Milestone Tracker – MENA'!$E:$E,6)),"",INDEX('Milestone Tracker – MENA'!$E:$E,6))</f>
        <v/>
      </c>
      <c r="F261" t="str">
        <f>IF(ISBLANK(INDEX('Milestone Tracker – MENA'!$F:$F,6)),"",INDEX('Milestone Tracker – MENA'!$F:$F,6))</f>
        <v/>
      </c>
      <c r="G261" s="18" t="e">
        <f>IF(ISBLANK(INDEX('Milestone Tracker – MENA'!#REF!,6)),"",INDEX('Milestone Tracker – MENA'!#REF!,6))</f>
        <v>#REF!</v>
      </c>
      <c r="H261" s="19" t="str">
        <f>IF(ISBLANK(INDEX('Milestone Tracker – MENA'!$G:$G,6)),"",INDEX('Milestone Tracker – MENA'!$G:$G,6))</f>
        <v/>
      </c>
      <c r="I261" s="19" t="str">
        <f>IF(ISBLANK(INDEX('Milestone Tracker – MENA'!$H:$H,6)),"",INDEX('Milestone Tracker – MENA'!$H:$H,6))</f>
        <v/>
      </c>
      <c r="J261" s="19" t="e">
        <f>IF(ISBLANK(INDEX('Milestone Tracker – MENA'!#REF!,6)),"",INDEX('Milestone Tracker – MENA'!#REF!,6))</f>
        <v>#REF!</v>
      </c>
      <c r="K261">
        <f t="shared" si="8"/>
        <v>0</v>
      </c>
      <c r="L261">
        <f t="shared" si="9"/>
        <v>0</v>
      </c>
    </row>
    <row r="262" spans="1:12" x14ac:dyDescent="0.35">
      <c r="A262">
        <v>7</v>
      </c>
      <c r="B262">
        <f>IF(ISBLANK(INDEX('Milestone Tracker – MENA'!$B:$B,7)),B261,INDEX('Milestone Tracker – MENA'!$B:$B,7))</f>
        <v>0</v>
      </c>
      <c r="C262">
        <f>IF(ISBLANK(INDEX('Milestone Tracker – MENA'!$C:$C,7)),C261,INDEX('Milestone Tracker – MENA'!$C:$C,7))</f>
        <v>0</v>
      </c>
      <c r="D262">
        <f>IF(ISBLANK(INDEX('Milestone Tracker – MENA'!$D:$D,7)),D261,INDEX('Milestone Tracker – MENA'!$D:$D,7))</f>
        <v>0</v>
      </c>
      <c r="E262" t="str">
        <f>IF(ISBLANK(INDEX('Milestone Tracker – MENA'!$E:$E,7)),"",INDEX('Milestone Tracker – MENA'!$E:$E,7))</f>
        <v/>
      </c>
      <c r="F262" t="str">
        <f>IF(ISBLANK(INDEX('Milestone Tracker – MENA'!$F:$F,7)),"",INDEX('Milestone Tracker – MENA'!$F:$F,7))</f>
        <v/>
      </c>
      <c r="G262" s="18" t="e">
        <f>IF(ISBLANK(INDEX('Milestone Tracker – MENA'!#REF!,7)),"",INDEX('Milestone Tracker – MENA'!#REF!,7))</f>
        <v>#REF!</v>
      </c>
      <c r="H262" s="19" t="str">
        <f>IF(ISBLANK(INDEX('Milestone Tracker – MENA'!$G:$G,7)),"",INDEX('Milestone Tracker – MENA'!$G:$G,7))</f>
        <v/>
      </c>
      <c r="I262" s="19" t="str">
        <f>IF(ISBLANK(INDEX('Milestone Tracker – MENA'!$H:$H,7)),"",INDEX('Milestone Tracker – MENA'!$H:$H,7))</f>
        <v/>
      </c>
      <c r="J262" s="19" t="e">
        <f>IF(ISBLANK(INDEX('Milestone Tracker – MENA'!#REF!,7)),"",INDEX('Milestone Tracker – MENA'!#REF!,7))</f>
        <v>#REF!</v>
      </c>
      <c r="K262">
        <f t="shared" si="8"/>
        <v>0</v>
      </c>
      <c r="L262">
        <f t="shared" si="9"/>
        <v>0</v>
      </c>
    </row>
    <row r="263" spans="1:12" x14ac:dyDescent="0.35">
      <c r="A263">
        <v>8</v>
      </c>
      <c r="B263">
        <f>IF(ISBLANK(INDEX('Milestone Tracker – MENA'!$B:$B,8)),B262,INDEX('Milestone Tracker – MENA'!$B:$B,8))</f>
        <v>0</v>
      </c>
      <c r="C263">
        <f>IF(ISBLANK(INDEX('Milestone Tracker – MENA'!$C:$C,8)),C262,INDEX('Milestone Tracker – MENA'!$C:$C,8))</f>
        <v>0</v>
      </c>
      <c r="D263">
        <f>IF(ISBLANK(INDEX('Milestone Tracker – MENA'!$D:$D,8)),D262,INDEX('Milestone Tracker – MENA'!$D:$D,8))</f>
        <v>0</v>
      </c>
      <c r="E263" t="str">
        <f>IF(ISBLANK(INDEX('Milestone Tracker – MENA'!$E:$E,8)),"",INDEX('Milestone Tracker – MENA'!$E:$E,8))</f>
        <v/>
      </c>
      <c r="F263" t="str">
        <f>IF(ISBLANK(INDEX('Milestone Tracker – MENA'!$F:$F,8)),"",INDEX('Milestone Tracker – MENA'!$F:$F,8))</f>
        <v/>
      </c>
      <c r="G263" s="18" t="e">
        <f>IF(ISBLANK(INDEX('Milestone Tracker – MENA'!#REF!,8)),"",INDEX('Milestone Tracker – MENA'!#REF!,8))</f>
        <v>#REF!</v>
      </c>
      <c r="H263" s="19" t="str">
        <f>IF(ISBLANK(INDEX('Milestone Tracker – MENA'!$G:$G,8)),"",INDEX('Milestone Tracker – MENA'!$G:$G,8))</f>
        <v/>
      </c>
      <c r="I263" t="str">
        <f>IF(ISBLANK(INDEX('Milestone Tracker – MENA'!$H:$H,8)),"",INDEX('Milestone Tracker – MENA'!$H:$H,8))</f>
        <v/>
      </c>
      <c r="J263" t="e">
        <f>IF(ISBLANK(INDEX('Milestone Tracker – MENA'!#REF!,8)),"",INDEX('Milestone Tracker – MENA'!#REF!,8))</f>
        <v>#REF!</v>
      </c>
      <c r="K263">
        <f t="shared" si="8"/>
        <v>0</v>
      </c>
      <c r="L263">
        <f t="shared" si="9"/>
        <v>0</v>
      </c>
    </row>
    <row r="264" spans="1:12" x14ac:dyDescent="0.35">
      <c r="A264">
        <v>9</v>
      </c>
      <c r="B264">
        <f>IF(ISBLANK(INDEX('Milestone Tracker – MENA'!$B:$B,9)),B263,INDEX('Milestone Tracker – MENA'!$B:$B,9))</f>
        <v>0</v>
      </c>
      <c r="C264">
        <f>IF(ISBLANK(INDEX('Milestone Tracker – MENA'!$C:$C,9)),C263,INDEX('Milestone Tracker – MENA'!$C:$C,9))</f>
        <v>0</v>
      </c>
      <c r="D264">
        <f>IF(ISBLANK(INDEX('Milestone Tracker – MENA'!$D:$D,9)),D263,INDEX('Milestone Tracker – MENA'!$D:$D,9))</f>
        <v>0</v>
      </c>
      <c r="E264" t="str">
        <f>IF(ISBLANK(INDEX('Milestone Tracker – MENA'!$E:$E,9)),"",INDEX('Milestone Tracker – MENA'!$E:$E,9))</f>
        <v/>
      </c>
      <c r="F264" t="str">
        <f>IF(ISBLANK(INDEX('Milestone Tracker – MENA'!$F:$F,9)),"",INDEX('Milestone Tracker – MENA'!$F:$F,9))</f>
        <v/>
      </c>
      <c r="G264" s="18" t="e">
        <f>IF(ISBLANK(INDEX('Milestone Tracker – MENA'!#REF!,9)),"",INDEX('Milestone Tracker – MENA'!#REF!,9))</f>
        <v>#REF!</v>
      </c>
      <c r="H264" s="19" t="str">
        <f>IF(ISBLANK(INDEX('Milestone Tracker – MENA'!$G:$G,9)),"",INDEX('Milestone Tracker – MENA'!$G:$G,9))</f>
        <v/>
      </c>
      <c r="I264" t="str">
        <f>IF(ISBLANK(INDEX('Milestone Tracker – MENA'!$H:$H,9)),"",INDEX('Milestone Tracker – MENA'!$H:$H,9))</f>
        <v/>
      </c>
      <c r="J264" t="e">
        <f>IF(ISBLANK(INDEX('Milestone Tracker – MENA'!#REF!,9)),"",INDEX('Milestone Tracker – MENA'!#REF!,9))</f>
        <v>#REF!</v>
      </c>
      <c r="K264">
        <f t="shared" si="8"/>
        <v>0</v>
      </c>
      <c r="L264">
        <f t="shared" si="9"/>
        <v>0</v>
      </c>
    </row>
    <row r="265" spans="1:12" x14ac:dyDescent="0.35">
      <c r="A265">
        <v>10</v>
      </c>
      <c r="B265">
        <f>IF(ISBLANK(INDEX('Milestone Tracker – MENA'!$B:$B,10)),B264,INDEX('Milestone Tracker – MENA'!$B:$B,10))</f>
        <v>0</v>
      </c>
      <c r="C265">
        <f>IF(ISBLANK(INDEX('Milestone Tracker – MENA'!$C:$C,10)),C264,INDEX('Milestone Tracker – MENA'!$C:$C,10))</f>
        <v>0</v>
      </c>
      <c r="D265">
        <f>IF(ISBLANK(INDEX('Milestone Tracker – MENA'!$D:$D,10)),D264,INDEX('Milestone Tracker – MENA'!$D:$D,10))</f>
        <v>0</v>
      </c>
      <c r="E265" t="str">
        <f>IF(ISBLANK(INDEX('Milestone Tracker – MENA'!$E:$E,10)),"",INDEX('Milestone Tracker – MENA'!$E:$E,10))</f>
        <v/>
      </c>
      <c r="F265" t="str">
        <f>IF(ISBLANK(INDEX('Milestone Tracker – MENA'!$F:$F,10)),"",INDEX('Milestone Tracker – MENA'!$F:$F,10))</f>
        <v/>
      </c>
      <c r="G265" s="18" t="e">
        <f>IF(ISBLANK(INDEX('Milestone Tracker – MENA'!#REF!,10)),"",INDEX('Milestone Tracker – MENA'!#REF!,10))</f>
        <v>#REF!</v>
      </c>
      <c r="H265" s="19" t="str">
        <f>IF(ISBLANK(INDEX('Milestone Tracker – MENA'!$G:$G,10)),"",INDEX('Milestone Tracker – MENA'!$G:$G,10))</f>
        <v/>
      </c>
      <c r="I265" t="str">
        <f>IF(ISBLANK(INDEX('Milestone Tracker – MENA'!$H:$H,10)),"",INDEX('Milestone Tracker – MENA'!$H:$H,10))</f>
        <v/>
      </c>
      <c r="J265" t="e">
        <f>IF(ISBLANK(INDEX('Milestone Tracker – MENA'!#REF!,10)),"",INDEX('Milestone Tracker – MENA'!#REF!,10))</f>
        <v>#REF!</v>
      </c>
      <c r="K265">
        <f t="shared" si="8"/>
        <v>0</v>
      </c>
      <c r="L265">
        <f t="shared" si="9"/>
        <v>0</v>
      </c>
    </row>
    <row r="266" spans="1:12" x14ac:dyDescent="0.35">
      <c r="A266">
        <v>11</v>
      </c>
      <c r="B266">
        <f>IF(ISBLANK(INDEX('Milestone Tracker – MENA'!$B:$B,11)),B265,INDEX('Milestone Tracker – MENA'!$B:$B,11))</f>
        <v>0</v>
      </c>
      <c r="C266">
        <f>IF(ISBLANK(INDEX('Milestone Tracker – MENA'!$C:$C,11)),C265,INDEX('Milestone Tracker – MENA'!$C:$C,11))</f>
        <v>0</v>
      </c>
      <c r="D266">
        <f>IF(ISBLANK(INDEX('Milestone Tracker – MENA'!$D:$D,11)),D265,INDEX('Milestone Tracker – MENA'!$D:$D,11))</f>
        <v>0</v>
      </c>
      <c r="E266" t="str">
        <f>IF(ISBLANK(INDEX('Milestone Tracker – MENA'!$E:$E,11)),"",INDEX('Milestone Tracker – MENA'!$E:$E,11))</f>
        <v/>
      </c>
      <c r="F266" t="str">
        <f>IF(ISBLANK(INDEX('Milestone Tracker – MENA'!$F:$F,11)),"",INDEX('Milestone Tracker – MENA'!$F:$F,11))</f>
        <v/>
      </c>
      <c r="G266" s="18" t="e">
        <f>IF(ISBLANK(INDEX('Milestone Tracker – MENA'!#REF!,11)),"",INDEX('Milestone Tracker – MENA'!#REF!,11))</f>
        <v>#REF!</v>
      </c>
      <c r="H266" s="19" t="str">
        <f>IF(ISBLANK(INDEX('Milestone Tracker – MENA'!$G:$G,11)),"",INDEX('Milestone Tracker – MENA'!$G:$G,11))</f>
        <v/>
      </c>
      <c r="I266" t="str">
        <f>IF(ISBLANK(INDEX('Milestone Tracker – MENA'!$H:$H,11)),"",INDEX('Milestone Tracker – MENA'!$H:$H,11))</f>
        <v/>
      </c>
      <c r="J266" t="e">
        <f>IF(ISBLANK(INDEX('Milestone Tracker – MENA'!#REF!,11)),"",INDEX('Milestone Tracker – MENA'!#REF!,11))</f>
        <v>#REF!</v>
      </c>
      <c r="K266">
        <f t="shared" si="8"/>
        <v>0</v>
      </c>
      <c r="L266">
        <f t="shared" si="9"/>
        <v>0</v>
      </c>
    </row>
    <row r="267" spans="1:12" x14ac:dyDescent="0.35">
      <c r="A267">
        <v>12</v>
      </c>
      <c r="B267">
        <f>IF(ISBLANK(INDEX('Milestone Tracker – MENA'!$B:$B,12)),B266,INDEX('Milestone Tracker – MENA'!$B:$B,12))</f>
        <v>0</v>
      </c>
      <c r="C267">
        <f>IF(ISBLANK(INDEX('Milestone Tracker – MENA'!$C:$C,12)),C266,INDEX('Milestone Tracker – MENA'!$C:$C,12))</f>
        <v>0</v>
      </c>
      <c r="D267">
        <f>IF(ISBLANK(INDEX('Milestone Tracker – MENA'!$D:$D,12)),D266,INDEX('Milestone Tracker – MENA'!$D:$D,12))</f>
        <v>0</v>
      </c>
      <c r="E267" t="str">
        <f>IF(ISBLANK(INDEX('Milestone Tracker – MENA'!$E:$E,12)),"",INDEX('Milestone Tracker – MENA'!$E:$E,12))</f>
        <v/>
      </c>
      <c r="F267" t="str">
        <f>IF(ISBLANK(INDEX('Milestone Tracker – MENA'!$F:$F,12)),"",INDEX('Milestone Tracker – MENA'!$F:$F,12))</f>
        <v/>
      </c>
      <c r="G267" s="18" t="e">
        <f>IF(ISBLANK(INDEX('Milestone Tracker – MENA'!#REF!,12)),"",INDEX('Milestone Tracker – MENA'!#REF!,12))</f>
        <v>#REF!</v>
      </c>
      <c r="H267" s="19" t="str">
        <f>IF(ISBLANK(INDEX('Milestone Tracker – MENA'!$G:$G,12)),"",INDEX('Milestone Tracker – MENA'!$G:$G,12))</f>
        <v/>
      </c>
      <c r="I267" t="str">
        <f>IF(ISBLANK(INDEX('Milestone Tracker – MENA'!$H:$H,12)),"",INDEX('Milestone Tracker – MENA'!$H:$H,12))</f>
        <v/>
      </c>
      <c r="J267" t="e">
        <f>IF(ISBLANK(INDEX('Milestone Tracker – MENA'!#REF!,12)),"",INDEX('Milestone Tracker – MENA'!#REF!,12))</f>
        <v>#REF!</v>
      </c>
      <c r="K267">
        <f t="shared" si="8"/>
        <v>0</v>
      </c>
      <c r="L267">
        <f t="shared" si="9"/>
        <v>0</v>
      </c>
    </row>
    <row r="268" spans="1:12" x14ac:dyDescent="0.35">
      <c r="A268">
        <v>13</v>
      </c>
      <c r="B268">
        <f>IF(ISBLANK(INDEX('Milestone Tracker – MENA'!$B:$B,13)),B267,INDEX('Milestone Tracker – MENA'!$B:$B,13))</f>
        <v>0</v>
      </c>
      <c r="C268">
        <f>IF(ISBLANK(INDEX('Milestone Tracker – MENA'!$C:$C,13)),C267,INDEX('Milestone Tracker – MENA'!$C:$C,13))</f>
        <v>0</v>
      </c>
      <c r="D268">
        <f>IF(ISBLANK(INDEX('Milestone Tracker – MENA'!$D:$D,13)),D267,INDEX('Milestone Tracker – MENA'!$D:$D,13))</f>
        <v>0</v>
      </c>
      <c r="E268" t="str">
        <f>IF(ISBLANK(INDEX('Milestone Tracker – MENA'!$E:$E,13)),"",INDEX('Milestone Tracker – MENA'!$E:$E,13))</f>
        <v/>
      </c>
      <c r="F268" t="str">
        <f>IF(ISBLANK(INDEX('Milestone Tracker – MENA'!$F:$F,13)),"",INDEX('Milestone Tracker – MENA'!$F:$F,13))</f>
        <v/>
      </c>
      <c r="G268" s="18" t="e">
        <f>IF(ISBLANK(INDEX('Milestone Tracker – MENA'!#REF!,13)),"",INDEX('Milestone Tracker – MENA'!#REF!,13))</f>
        <v>#REF!</v>
      </c>
      <c r="H268" t="str">
        <f>IF(ISBLANK(INDEX('Milestone Tracker – MENA'!$G:$G,13)),"",INDEX('Milestone Tracker – MENA'!$G:$G,13))</f>
        <v/>
      </c>
      <c r="I268" t="str">
        <f>IF(ISBLANK(INDEX('Milestone Tracker – MENA'!$H:$H,13)),"",INDEX('Milestone Tracker – MENA'!$H:$H,13))</f>
        <v/>
      </c>
      <c r="J268" t="e">
        <f>IF(ISBLANK(INDEX('Milestone Tracker – MENA'!#REF!,13)),"",INDEX('Milestone Tracker – MENA'!#REF!,13))</f>
        <v>#REF!</v>
      </c>
      <c r="K268">
        <f t="shared" si="8"/>
        <v>0</v>
      </c>
      <c r="L268">
        <f t="shared" si="9"/>
        <v>0</v>
      </c>
    </row>
    <row r="269" spans="1:12" x14ac:dyDescent="0.35">
      <c r="A269">
        <v>14</v>
      </c>
      <c r="B269">
        <f>IF(ISBLANK(INDEX('Milestone Tracker – MENA'!$B:$B,14)),B268,INDEX('Milestone Tracker – MENA'!$B:$B,14))</f>
        <v>0</v>
      </c>
      <c r="C269">
        <f>IF(ISBLANK(INDEX('Milestone Tracker – MENA'!$C:$C,14)),C268,INDEX('Milestone Tracker – MENA'!$C:$C,14))</f>
        <v>0</v>
      </c>
      <c r="D269">
        <f>IF(ISBLANK(INDEX('Milestone Tracker – MENA'!$D:$D,14)),D268,INDEX('Milestone Tracker – MENA'!$D:$D,14))</f>
        <v>0</v>
      </c>
      <c r="E269" t="str">
        <f>IF(ISBLANK(INDEX('Milestone Tracker – MENA'!$E:$E,14)),"",INDEX('Milestone Tracker – MENA'!$E:$E,14))</f>
        <v/>
      </c>
      <c r="F269" t="str">
        <f>IF(ISBLANK(INDEX('Milestone Tracker – MENA'!$F:$F,14)),"",INDEX('Milestone Tracker – MENA'!$F:$F,14))</f>
        <v/>
      </c>
      <c r="G269" s="18" t="e">
        <f>IF(ISBLANK(INDEX('Milestone Tracker – MENA'!#REF!,14)),"",INDEX('Milestone Tracker – MENA'!#REF!,14))</f>
        <v>#REF!</v>
      </c>
      <c r="H269" t="str">
        <f>IF(ISBLANK(INDEX('Milestone Tracker – MENA'!$G:$G,14)),"",INDEX('Milestone Tracker – MENA'!$G:$G,14))</f>
        <v/>
      </c>
      <c r="I269" t="str">
        <f>IF(ISBLANK(INDEX('Milestone Tracker – MENA'!$H:$H,14)),"",INDEX('Milestone Tracker – MENA'!$H:$H,14))</f>
        <v/>
      </c>
      <c r="J269" s="18" t="e">
        <f>IF(ISBLANK(INDEX('Milestone Tracker – MENA'!#REF!,14)),"",INDEX('Milestone Tracker – MENA'!#REF!,14))</f>
        <v>#REF!</v>
      </c>
      <c r="K269">
        <f t="shared" si="8"/>
        <v>0</v>
      </c>
      <c r="L269">
        <f t="shared" si="9"/>
        <v>0</v>
      </c>
    </row>
    <row r="270" spans="1:12" x14ac:dyDescent="0.35">
      <c r="A270">
        <v>15</v>
      </c>
      <c r="B270">
        <f>IF(ISBLANK(INDEX('Milestone Tracker – MENA'!$B:$B,15)),B269,INDEX('Milestone Tracker – MENA'!$B:$B,15))</f>
        <v>0</v>
      </c>
      <c r="C270">
        <f>IF(ISBLANK(INDEX('Milestone Tracker – MENA'!$C:$C,15)),C269,INDEX('Milestone Tracker – MENA'!$C:$C,15))</f>
        <v>0</v>
      </c>
      <c r="D270">
        <f>IF(ISBLANK(INDEX('Milestone Tracker – MENA'!$D:$D,15)),D269,INDEX('Milestone Tracker – MENA'!$D:$D,15))</f>
        <v>0</v>
      </c>
      <c r="E270" t="str">
        <f>IF(ISBLANK(INDEX('Milestone Tracker – MENA'!$E:$E,15)),"",INDEX('Milestone Tracker – MENA'!$E:$E,15))</f>
        <v/>
      </c>
      <c r="F270" t="str">
        <f>IF(ISBLANK(INDEX('Milestone Tracker – MENA'!$F:$F,15)),"",INDEX('Milestone Tracker – MENA'!$F:$F,15))</f>
        <v/>
      </c>
      <c r="G270" s="18" t="e">
        <f>IF(ISBLANK(INDEX('Milestone Tracker – MENA'!#REF!,15)),"",INDEX('Milestone Tracker – MENA'!#REF!,15))</f>
        <v>#REF!</v>
      </c>
      <c r="H270" s="19" t="str">
        <f>IF(ISBLANK(INDEX('Milestone Tracker – MENA'!$G:$G,15)),"",INDEX('Milestone Tracker – MENA'!$G:$G,15))</f>
        <v/>
      </c>
      <c r="I270" s="19" t="str">
        <f>IF(ISBLANK(INDEX('Milestone Tracker – MENA'!$H:$H,15)),"",INDEX('Milestone Tracker – MENA'!$H:$H,15))</f>
        <v/>
      </c>
      <c r="J270" s="19" t="e">
        <f>IF(ISBLANK(INDEX('Milestone Tracker – MENA'!#REF!,15)),"",INDEX('Milestone Tracker – MENA'!#REF!,15))</f>
        <v>#REF!</v>
      </c>
      <c r="K270">
        <f t="shared" si="8"/>
        <v>0</v>
      </c>
      <c r="L270">
        <f t="shared" si="9"/>
        <v>0</v>
      </c>
    </row>
    <row r="271" spans="1:12" x14ac:dyDescent="0.35">
      <c r="A271">
        <v>16</v>
      </c>
      <c r="B271">
        <f>IF(ISBLANK(INDEX('Milestone Tracker – MENA'!$B:$B,16)),B270,INDEX('Milestone Tracker – MENA'!$B:$B,16))</f>
        <v>0</v>
      </c>
      <c r="C271">
        <f>IF(ISBLANK(INDEX('Milestone Tracker – MENA'!$C:$C,16)),C270,INDEX('Milestone Tracker – MENA'!$C:$C,16))</f>
        <v>0</v>
      </c>
      <c r="D271">
        <f>IF(ISBLANK(INDEX('Milestone Tracker – MENA'!$D:$D,16)),D270,INDEX('Milestone Tracker – MENA'!$D:$D,16))</f>
        <v>0</v>
      </c>
      <c r="E271" t="str">
        <f>IF(ISBLANK(INDEX('Milestone Tracker – MENA'!$E:$E,16)),"",INDEX('Milestone Tracker – MENA'!$E:$E,16))</f>
        <v/>
      </c>
      <c r="F271" t="str">
        <f>IF(ISBLANK(INDEX('Milestone Tracker – MENA'!$F:$F,16)),"",INDEX('Milestone Tracker – MENA'!$F:$F,16))</f>
        <v/>
      </c>
      <c r="G271" s="18" t="e">
        <f>IF(ISBLANK(INDEX('Milestone Tracker – MENA'!#REF!,16)),"",INDEX('Milestone Tracker – MENA'!#REF!,16))</f>
        <v>#REF!</v>
      </c>
      <c r="H271" s="19" t="str">
        <f>IF(ISBLANK(INDEX('Milestone Tracker – MENA'!$G:$G,16)),"",INDEX('Milestone Tracker – MENA'!$G:$G,16))</f>
        <v/>
      </c>
      <c r="I271" s="19" t="str">
        <f>IF(ISBLANK(INDEX('Milestone Tracker – MENA'!$H:$H,16)),"",INDEX('Milestone Tracker – MENA'!$H:$H,16))</f>
        <v/>
      </c>
      <c r="J271" s="19" t="e">
        <f>IF(ISBLANK(INDEX('Milestone Tracker – MENA'!#REF!,16)),"",INDEX('Milestone Tracker – MENA'!#REF!,16))</f>
        <v>#REF!</v>
      </c>
      <c r="K271">
        <f t="shared" si="8"/>
        <v>0</v>
      </c>
      <c r="L271">
        <f t="shared" si="9"/>
        <v>0</v>
      </c>
    </row>
    <row r="272" spans="1:12" x14ac:dyDescent="0.35">
      <c r="A272">
        <v>17</v>
      </c>
      <c r="B272">
        <f>IF(ISBLANK(INDEX('Milestone Tracker – MENA'!$B:$B,17)),B271,INDEX('Milestone Tracker – MENA'!$B:$B,17))</f>
        <v>0</v>
      </c>
      <c r="C272">
        <f>IF(ISBLANK(INDEX('Milestone Tracker – MENA'!$C:$C,17)),C271,INDEX('Milestone Tracker – MENA'!$C:$C,17))</f>
        <v>0</v>
      </c>
      <c r="D272">
        <f>IF(ISBLANK(INDEX('Milestone Tracker – MENA'!$D:$D,17)),D271,INDEX('Milestone Tracker – MENA'!$D:$D,17))</f>
        <v>0</v>
      </c>
      <c r="E272" t="str">
        <f>IF(ISBLANK(INDEX('Milestone Tracker – MENA'!$E:$E,17)),"",INDEX('Milestone Tracker – MENA'!$E:$E,17))</f>
        <v/>
      </c>
      <c r="F272" t="str">
        <f>IF(ISBLANK(INDEX('Milestone Tracker – MENA'!$F:$F,17)),"",INDEX('Milestone Tracker – MENA'!$F:$F,17))</f>
        <v/>
      </c>
      <c r="G272" s="18" t="e">
        <f>IF(ISBLANK(INDEX('Milestone Tracker – MENA'!#REF!,17)),"",INDEX('Milestone Tracker – MENA'!#REF!,17))</f>
        <v>#REF!</v>
      </c>
      <c r="H272" s="19" t="str">
        <f>IF(ISBLANK(INDEX('Milestone Tracker – MENA'!$G:$G,17)),"",INDEX('Milestone Tracker – MENA'!$G:$G,17))</f>
        <v/>
      </c>
      <c r="I272" s="19" t="str">
        <f>IF(ISBLANK(INDEX('Milestone Tracker – MENA'!$H:$H,17)),"",INDEX('Milestone Tracker – MENA'!$H:$H,17))</f>
        <v/>
      </c>
      <c r="J272" s="19" t="e">
        <f>IF(ISBLANK(INDEX('Milestone Tracker – MENA'!#REF!,17)),"",INDEX('Milestone Tracker – MENA'!#REF!,17))</f>
        <v>#REF!</v>
      </c>
      <c r="K272">
        <f t="shared" si="8"/>
        <v>0</v>
      </c>
      <c r="L272">
        <f t="shared" si="9"/>
        <v>0</v>
      </c>
    </row>
    <row r="273" spans="1:12" x14ac:dyDescent="0.35">
      <c r="A273">
        <v>18</v>
      </c>
      <c r="B273">
        <f>IF(ISBLANK(INDEX('Milestone Tracker – MENA'!$B:$B,18)),B272,INDEX('Milestone Tracker – MENA'!$B:$B,18))</f>
        <v>0</v>
      </c>
      <c r="C273">
        <f>IF(ISBLANK(INDEX('Milestone Tracker – MENA'!$C:$C,18)),C272,INDEX('Milestone Tracker – MENA'!$C:$C,18))</f>
        <v>0</v>
      </c>
      <c r="D273">
        <f>IF(ISBLANK(INDEX('Milestone Tracker – MENA'!$D:$D,18)),D272,INDEX('Milestone Tracker – MENA'!$D:$D,18))</f>
        <v>0</v>
      </c>
      <c r="E273" t="str">
        <f>IF(ISBLANK(INDEX('Milestone Tracker – MENA'!$E:$E,18)),"",INDEX('Milestone Tracker – MENA'!$E:$E,18))</f>
        <v/>
      </c>
      <c r="F273" t="str">
        <f>IF(ISBLANK(INDEX('Milestone Tracker – MENA'!$F:$F,18)),"",INDEX('Milestone Tracker – MENA'!$F:$F,18))</f>
        <v/>
      </c>
      <c r="G273" s="18" t="e">
        <f>IF(ISBLANK(INDEX('Milestone Tracker – MENA'!#REF!,18)),"",INDEX('Milestone Tracker – MENA'!#REF!,18))</f>
        <v>#REF!</v>
      </c>
      <c r="H273" s="19" t="str">
        <f>IF(ISBLANK(INDEX('Milestone Tracker – MENA'!$G:$G,18)),"",INDEX('Milestone Tracker – MENA'!$G:$G,18))</f>
        <v/>
      </c>
      <c r="I273" t="str">
        <f>IF(ISBLANK(INDEX('Milestone Tracker – MENA'!$H:$H,18)),"",INDEX('Milestone Tracker – MENA'!$H:$H,18))</f>
        <v/>
      </c>
      <c r="J273" t="e">
        <f>IF(ISBLANK(INDEX('Milestone Tracker – MENA'!#REF!,18)),"",INDEX('Milestone Tracker – MENA'!#REF!,18))</f>
        <v>#REF!</v>
      </c>
      <c r="K273">
        <f t="shared" si="8"/>
        <v>0</v>
      </c>
      <c r="L273">
        <f t="shared" si="9"/>
        <v>0</v>
      </c>
    </row>
    <row r="274" spans="1:12" x14ac:dyDescent="0.35">
      <c r="A274">
        <v>19</v>
      </c>
      <c r="B274">
        <f>IF(ISBLANK(INDEX('Milestone Tracker – MENA'!$B:$B,19)),B273,INDEX('Milestone Tracker – MENA'!$B:$B,19))</f>
        <v>0</v>
      </c>
      <c r="C274">
        <f>IF(ISBLANK(INDEX('Milestone Tracker – MENA'!$C:$C,19)),C273,INDEX('Milestone Tracker – MENA'!$C:$C,19))</f>
        <v>0</v>
      </c>
      <c r="D274">
        <f>IF(ISBLANK(INDEX('Milestone Tracker – MENA'!$D:$D,19)),D273,INDEX('Milestone Tracker – MENA'!$D:$D,19))</f>
        <v>0</v>
      </c>
      <c r="E274" t="str">
        <f>IF(ISBLANK(INDEX('Milestone Tracker – MENA'!$E:$E,19)),"",INDEX('Milestone Tracker – MENA'!$E:$E,19))</f>
        <v/>
      </c>
      <c r="F274" t="str">
        <f>IF(ISBLANK(INDEX('Milestone Tracker – MENA'!$F:$F,19)),"",INDEX('Milestone Tracker – MENA'!$F:$F,19))</f>
        <v/>
      </c>
      <c r="G274" s="18" t="e">
        <f>IF(ISBLANK(INDEX('Milestone Tracker – MENA'!#REF!,19)),"",INDEX('Milestone Tracker – MENA'!#REF!,19))</f>
        <v>#REF!</v>
      </c>
      <c r="H274" s="19" t="str">
        <f>IF(ISBLANK(INDEX('Milestone Tracker – MENA'!$G:$G,19)),"",INDEX('Milestone Tracker – MENA'!$G:$G,19))</f>
        <v/>
      </c>
      <c r="I274" t="str">
        <f>IF(ISBLANK(INDEX('Milestone Tracker – MENA'!$H:$H,19)),"",INDEX('Milestone Tracker – MENA'!$H:$H,19))</f>
        <v/>
      </c>
      <c r="J274" t="e">
        <f>IF(ISBLANK(INDEX('Milestone Tracker – MENA'!#REF!,19)),"",INDEX('Milestone Tracker – MENA'!#REF!,19))</f>
        <v>#REF!</v>
      </c>
      <c r="K274">
        <f t="shared" si="8"/>
        <v>0</v>
      </c>
      <c r="L274">
        <f t="shared" si="9"/>
        <v>0</v>
      </c>
    </row>
    <row r="275" spans="1:12" x14ac:dyDescent="0.35">
      <c r="A275">
        <v>20</v>
      </c>
      <c r="B275">
        <f>IF(ISBLANK(INDEX('Milestone Tracker – MENA'!$B:$B,20)),B274,INDEX('Milestone Tracker – MENA'!$B:$B,20))</f>
        <v>0</v>
      </c>
      <c r="C275">
        <f>IF(ISBLANK(INDEX('Milestone Tracker – MENA'!$C:$C,20)),C274,INDEX('Milestone Tracker – MENA'!$C:$C,20))</f>
        <v>0</v>
      </c>
      <c r="D275">
        <f>IF(ISBLANK(INDEX('Milestone Tracker – MENA'!$D:$D,20)),D274,INDEX('Milestone Tracker – MENA'!$D:$D,20))</f>
        <v>0</v>
      </c>
      <c r="E275" t="str">
        <f>IF(ISBLANK(INDEX('Milestone Tracker – MENA'!$E:$E,20)),"",INDEX('Milestone Tracker – MENA'!$E:$E,20))</f>
        <v/>
      </c>
      <c r="F275" t="str">
        <f>IF(ISBLANK(INDEX('Milestone Tracker – MENA'!$F:$F,20)),"",INDEX('Milestone Tracker – MENA'!$F:$F,20))</f>
        <v/>
      </c>
      <c r="G275" s="18" t="e">
        <f>IF(ISBLANK(INDEX('Milestone Tracker – MENA'!#REF!,20)),"",INDEX('Milestone Tracker – MENA'!#REF!,20))</f>
        <v>#REF!</v>
      </c>
      <c r="H275" s="19" t="str">
        <f>IF(ISBLANK(INDEX('Milestone Tracker – MENA'!$G:$G,20)),"",INDEX('Milestone Tracker – MENA'!$G:$G,20))</f>
        <v/>
      </c>
      <c r="I275" t="str">
        <f>IF(ISBLANK(INDEX('Milestone Tracker – MENA'!$H:$H,20)),"",INDEX('Milestone Tracker – MENA'!$H:$H,20))</f>
        <v/>
      </c>
      <c r="J275" t="e">
        <f>IF(ISBLANK(INDEX('Milestone Tracker – MENA'!#REF!,20)),"",INDEX('Milestone Tracker – MENA'!#REF!,20))</f>
        <v>#REF!</v>
      </c>
      <c r="K275">
        <f t="shared" si="8"/>
        <v>0</v>
      </c>
      <c r="L275">
        <f t="shared" si="9"/>
        <v>0</v>
      </c>
    </row>
    <row r="276" spans="1:12" x14ac:dyDescent="0.35">
      <c r="A276">
        <v>21</v>
      </c>
      <c r="B276">
        <f>IF(ISBLANK(INDEX('Milestone Tracker – MENA'!$B:$B,21)),B275,INDEX('Milestone Tracker – MENA'!$B:$B,21))</f>
        <v>0</v>
      </c>
      <c r="C276">
        <f>IF(ISBLANK(INDEX('Milestone Tracker – MENA'!$C:$C,21)),C275,INDEX('Milestone Tracker – MENA'!$C:$C,21))</f>
        <v>0</v>
      </c>
      <c r="D276">
        <f>IF(ISBLANK(INDEX('Milestone Tracker – MENA'!$D:$D,21)),D275,INDEX('Milestone Tracker – MENA'!$D:$D,21))</f>
        <v>0</v>
      </c>
      <c r="E276" t="str">
        <f>IF(ISBLANK(INDEX('Milestone Tracker – MENA'!$E:$E,21)),"",INDEX('Milestone Tracker – MENA'!$E:$E,21))</f>
        <v/>
      </c>
      <c r="F276" t="str">
        <f>IF(ISBLANK(INDEX('Milestone Tracker – MENA'!$F:$F,21)),"",INDEX('Milestone Tracker – MENA'!$F:$F,21))</f>
        <v/>
      </c>
      <c r="G276" s="18" t="e">
        <f>IF(ISBLANK(INDEX('Milestone Tracker – MENA'!#REF!,21)),"",INDEX('Milestone Tracker – MENA'!#REF!,21))</f>
        <v>#REF!</v>
      </c>
      <c r="H276" s="19" t="str">
        <f>IF(ISBLANK(INDEX('Milestone Tracker – MENA'!$G:$G,21)),"",INDEX('Milestone Tracker – MENA'!$G:$G,21))</f>
        <v/>
      </c>
      <c r="I276" t="str">
        <f>IF(ISBLANK(INDEX('Milestone Tracker – MENA'!$H:$H,21)),"",INDEX('Milestone Tracker – MENA'!$H:$H,21))</f>
        <v/>
      </c>
      <c r="J276" t="e">
        <f>IF(ISBLANK(INDEX('Milestone Tracker – MENA'!#REF!,21)),"",INDEX('Milestone Tracker – MENA'!#REF!,21))</f>
        <v>#REF!</v>
      </c>
      <c r="K276">
        <f t="shared" si="8"/>
        <v>0</v>
      </c>
      <c r="L276">
        <f t="shared" si="9"/>
        <v>0</v>
      </c>
    </row>
    <row r="277" spans="1:12" x14ac:dyDescent="0.35">
      <c r="A277">
        <v>22</v>
      </c>
      <c r="B277">
        <f>IF(ISBLANK(INDEX('Milestone Tracker – MENA'!$B:$B,22)),B276,INDEX('Milestone Tracker – MENA'!$B:$B,22))</f>
        <v>0</v>
      </c>
      <c r="C277">
        <f>IF(ISBLANK(INDEX('Milestone Tracker – MENA'!$C:$C,22)),C276,INDEX('Milestone Tracker – MENA'!$C:$C,22))</f>
        <v>0</v>
      </c>
      <c r="D277">
        <f>IF(ISBLANK(INDEX('Milestone Tracker – MENA'!$D:$D,22)),D276,INDEX('Milestone Tracker – MENA'!$D:$D,22))</f>
        <v>0</v>
      </c>
      <c r="E277" t="str">
        <f>IF(ISBLANK(INDEX('Milestone Tracker – MENA'!$E:$E,22)),"",INDEX('Milestone Tracker – MENA'!$E:$E,22))</f>
        <v/>
      </c>
      <c r="F277" t="str">
        <f>IF(ISBLANK(INDEX('Milestone Tracker – MENA'!$F:$F,22)),"",INDEX('Milestone Tracker – MENA'!$F:$F,22))</f>
        <v/>
      </c>
      <c r="G277" s="18" t="e">
        <f>IF(ISBLANK(INDEX('Milestone Tracker – MENA'!#REF!,22)),"",INDEX('Milestone Tracker – MENA'!#REF!,22))</f>
        <v>#REF!</v>
      </c>
      <c r="H277" t="str">
        <f>IF(ISBLANK(INDEX('Milestone Tracker – MENA'!$G:$G,22)),"",INDEX('Milestone Tracker – MENA'!$G:$G,22))</f>
        <v/>
      </c>
      <c r="I277" t="str">
        <f>IF(ISBLANK(INDEX('Milestone Tracker – MENA'!$H:$H,22)),"",INDEX('Milestone Tracker – MENA'!$H:$H,22))</f>
        <v/>
      </c>
      <c r="J277" t="e">
        <f>IF(ISBLANK(INDEX('Milestone Tracker – MENA'!#REF!,22)),"",INDEX('Milestone Tracker – MENA'!#REF!,22))</f>
        <v>#REF!</v>
      </c>
      <c r="K277">
        <f t="shared" si="8"/>
        <v>0</v>
      </c>
      <c r="L277">
        <f t="shared" si="9"/>
        <v>0</v>
      </c>
    </row>
    <row r="278" spans="1:12" x14ac:dyDescent="0.35">
      <c r="A278">
        <v>23</v>
      </c>
      <c r="B278">
        <f>IF(ISBLANK(INDEX('Milestone Tracker – MENA'!$B:$B,23)),B277,INDEX('Milestone Tracker – MENA'!$B:$B,23))</f>
        <v>0</v>
      </c>
      <c r="C278">
        <f>IF(ISBLANK(INDEX('Milestone Tracker – MENA'!$C:$C,23)),C277,INDEX('Milestone Tracker – MENA'!$C:$C,23))</f>
        <v>0</v>
      </c>
      <c r="D278">
        <f>IF(ISBLANK(INDEX('Milestone Tracker – MENA'!$D:$D,23)),D277,INDEX('Milestone Tracker – MENA'!$D:$D,23))</f>
        <v>0</v>
      </c>
      <c r="E278" t="str">
        <f>IF(ISBLANK(INDEX('Milestone Tracker – MENA'!$E:$E,23)),"",INDEX('Milestone Tracker – MENA'!$E:$E,23))</f>
        <v/>
      </c>
      <c r="F278" t="str">
        <f>IF(ISBLANK(INDEX('Milestone Tracker – MENA'!$F:$F,23)),"",INDEX('Milestone Tracker – MENA'!$F:$F,23))</f>
        <v/>
      </c>
      <c r="G278" s="18" t="e">
        <f>IF(ISBLANK(INDEX('Milestone Tracker – MENA'!#REF!,23)),"",INDEX('Milestone Tracker – MENA'!#REF!,23))</f>
        <v>#REF!</v>
      </c>
      <c r="H278" t="str">
        <f>IF(ISBLANK(INDEX('Milestone Tracker – MENA'!$G:$G,23)),"",INDEX('Milestone Tracker – MENA'!$G:$G,23))</f>
        <v/>
      </c>
      <c r="I278" t="str">
        <f>IF(ISBLANK(INDEX('Milestone Tracker – MENA'!$H:$H,23)),"",INDEX('Milestone Tracker – MENA'!$H:$H,23))</f>
        <v/>
      </c>
      <c r="J278" s="18" t="e">
        <f>IF(ISBLANK(INDEX('Milestone Tracker – MENA'!#REF!,23)),"",INDEX('Milestone Tracker – MENA'!#REF!,23))</f>
        <v>#REF!</v>
      </c>
      <c r="K278">
        <f t="shared" si="8"/>
        <v>0</v>
      </c>
      <c r="L278">
        <f t="shared" si="9"/>
        <v>0</v>
      </c>
    </row>
    <row r="279" spans="1:12" x14ac:dyDescent="0.35">
      <c r="A279">
        <v>24</v>
      </c>
      <c r="B279">
        <f>IF(ISBLANK(INDEX('Milestone Tracker – MENA'!$B:$B,24)),B278,INDEX('Milestone Tracker – MENA'!$B:$B,24))</f>
        <v>0</v>
      </c>
      <c r="C279">
        <f>IF(ISBLANK(INDEX('Milestone Tracker – MENA'!$C:$C,24)),C278,INDEX('Milestone Tracker – MENA'!$C:$C,24))</f>
        <v>0</v>
      </c>
      <c r="D279">
        <f>IF(ISBLANK(INDEX('Milestone Tracker – MENA'!$D:$D,24)),D278,INDEX('Milestone Tracker – MENA'!$D:$D,24))</f>
        <v>0</v>
      </c>
      <c r="E279" t="str">
        <f>IF(ISBLANK(INDEX('Milestone Tracker – MENA'!$E:$E,24)),"",INDEX('Milestone Tracker – MENA'!$E:$E,24))</f>
        <v/>
      </c>
      <c r="F279" t="str">
        <f>IF(ISBLANK(INDEX('Milestone Tracker – MENA'!$F:$F,24)),"",INDEX('Milestone Tracker – MENA'!$F:$F,24))</f>
        <v/>
      </c>
      <c r="G279" s="18" t="e">
        <f>IF(ISBLANK(INDEX('Milestone Tracker – MENA'!#REF!,24)),"",INDEX('Milestone Tracker – MENA'!#REF!,24))</f>
        <v>#REF!</v>
      </c>
      <c r="H279" s="19" t="str">
        <f>IF(ISBLANK(INDEX('Milestone Tracker – MENA'!$G:$G,24)),"",INDEX('Milestone Tracker – MENA'!$G:$G,24))</f>
        <v/>
      </c>
      <c r="I279" s="19" t="str">
        <f>IF(ISBLANK(INDEX('Milestone Tracker – MENA'!$H:$H,24)),"",INDEX('Milestone Tracker – MENA'!$H:$H,24))</f>
        <v/>
      </c>
      <c r="J279" s="19" t="e">
        <f>IF(ISBLANK(INDEX('Milestone Tracker – MENA'!#REF!,24)),"",INDEX('Milestone Tracker – MENA'!#REF!,24))</f>
        <v>#REF!</v>
      </c>
      <c r="K279">
        <f t="shared" si="8"/>
        <v>0</v>
      </c>
      <c r="L279">
        <f t="shared" si="9"/>
        <v>0</v>
      </c>
    </row>
    <row r="280" spans="1:12" x14ac:dyDescent="0.35">
      <c r="A280">
        <v>25</v>
      </c>
      <c r="B280">
        <f>IF(ISBLANK(INDEX('Milestone Tracker – MENA'!$B:$B,25)),B279,INDEX('Milestone Tracker – MENA'!$B:$B,25))</f>
        <v>0</v>
      </c>
      <c r="C280">
        <f>IF(ISBLANK(INDEX('Milestone Tracker – MENA'!$C:$C,25)),C279,INDEX('Milestone Tracker – MENA'!$C:$C,25))</f>
        <v>0</v>
      </c>
      <c r="D280">
        <f>IF(ISBLANK(INDEX('Milestone Tracker – MENA'!$D:$D,25)),D279,INDEX('Milestone Tracker – MENA'!$D:$D,25))</f>
        <v>0</v>
      </c>
      <c r="E280" t="str">
        <f>IF(ISBLANK(INDEX('Milestone Tracker – MENA'!$E:$E,25)),"",INDEX('Milestone Tracker – MENA'!$E:$E,25))</f>
        <v/>
      </c>
      <c r="F280" t="str">
        <f>IF(ISBLANK(INDEX('Milestone Tracker – MENA'!$F:$F,25)),"",INDEX('Milestone Tracker – MENA'!$F:$F,25))</f>
        <v/>
      </c>
      <c r="G280" s="18" t="e">
        <f>IF(ISBLANK(INDEX('Milestone Tracker – MENA'!#REF!,25)),"",INDEX('Milestone Tracker – MENA'!#REF!,25))</f>
        <v>#REF!</v>
      </c>
      <c r="H280" s="19" t="str">
        <f>IF(ISBLANK(INDEX('Milestone Tracker – MENA'!$G:$G,25)),"",INDEX('Milestone Tracker – MENA'!$G:$G,25))</f>
        <v/>
      </c>
      <c r="I280" s="19" t="str">
        <f>IF(ISBLANK(INDEX('Milestone Tracker – MENA'!$H:$H,25)),"",INDEX('Milestone Tracker – MENA'!$H:$H,25))</f>
        <v/>
      </c>
      <c r="J280" s="19" t="e">
        <f>IF(ISBLANK(INDEX('Milestone Tracker – MENA'!#REF!,25)),"",INDEX('Milestone Tracker – MENA'!#REF!,25))</f>
        <v>#REF!</v>
      </c>
      <c r="K280">
        <f t="shared" si="8"/>
        <v>0</v>
      </c>
      <c r="L280">
        <f t="shared" si="9"/>
        <v>0</v>
      </c>
    </row>
    <row r="281" spans="1:12" x14ac:dyDescent="0.35">
      <c r="A281">
        <v>26</v>
      </c>
      <c r="B281">
        <f>IF(ISBLANK(INDEX('Milestone Tracker – MENA'!$B:$B,26)),B280,INDEX('Milestone Tracker – MENA'!$B:$B,26))</f>
        <v>0</v>
      </c>
      <c r="C281">
        <f>IF(ISBLANK(INDEX('Milestone Tracker – MENA'!$C:$C,26)),C280,INDEX('Milestone Tracker – MENA'!$C:$C,26))</f>
        <v>0</v>
      </c>
      <c r="D281">
        <f>IF(ISBLANK(INDEX('Milestone Tracker – MENA'!$D:$D,26)),D280,INDEX('Milestone Tracker – MENA'!$D:$D,26))</f>
        <v>0</v>
      </c>
      <c r="E281" t="str">
        <f>IF(ISBLANK(INDEX('Milestone Tracker – MENA'!$E:$E,26)),"",INDEX('Milestone Tracker – MENA'!$E:$E,26))</f>
        <v/>
      </c>
      <c r="F281" t="str">
        <f>IF(ISBLANK(INDEX('Milestone Tracker – MENA'!$F:$F,26)),"",INDEX('Milestone Tracker – MENA'!$F:$F,26))</f>
        <v/>
      </c>
      <c r="G281" s="18" t="e">
        <f>IF(ISBLANK(INDEX('Milestone Tracker – MENA'!#REF!,26)),"",INDEX('Milestone Tracker – MENA'!#REF!,26))</f>
        <v>#REF!</v>
      </c>
      <c r="H281" s="19" t="str">
        <f>IF(ISBLANK(INDEX('Milestone Tracker – MENA'!$G:$G,26)),"",INDEX('Milestone Tracker – MENA'!$G:$G,26))</f>
        <v/>
      </c>
      <c r="I281" t="str">
        <f>IF(ISBLANK(INDEX('Milestone Tracker – MENA'!$H:$H,26)),"",INDEX('Milestone Tracker – MENA'!$H:$H,26))</f>
        <v/>
      </c>
      <c r="J281" t="e">
        <f>IF(ISBLANK(INDEX('Milestone Tracker – MENA'!#REF!,26)),"",INDEX('Milestone Tracker – MENA'!#REF!,26))</f>
        <v>#REF!</v>
      </c>
      <c r="K281">
        <f t="shared" si="8"/>
        <v>0</v>
      </c>
      <c r="L281">
        <f t="shared" si="9"/>
        <v>0</v>
      </c>
    </row>
    <row r="282" spans="1:12" x14ac:dyDescent="0.35">
      <c r="A282">
        <v>27</v>
      </c>
      <c r="B282">
        <f>IF(ISBLANK(INDEX('Milestone Tracker – MENA'!$B:$B,27)),B281,INDEX('Milestone Tracker – MENA'!$B:$B,27))</f>
        <v>0</v>
      </c>
      <c r="C282">
        <f>IF(ISBLANK(INDEX('Milestone Tracker – MENA'!$C:$C,27)),C281,INDEX('Milestone Tracker – MENA'!$C:$C,27))</f>
        <v>0</v>
      </c>
      <c r="D282">
        <f>IF(ISBLANK(INDEX('Milestone Tracker – MENA'!$D:$D,27)),D281,INDEX('Milestone Tracker – MENA'!$D:$D,27))</f>
        <v>0</v>
      </c>
      <c r="E282" t="str">
        <f>IF(ISBLANK(INDEX('Milestone Tracker – MENA'!$E:$E,27)),"",INDEX('Milestone Tracker – MENA'!$E:$E,27))</f>
        <v/>
      </c>
      <c r="F282" t="str">
        <f>IF(ISBLANK(INDEX('Milestone Tracker – MENA'!$F:$F,27)),"",INDEX('Milestone Tracker – MENA'!$F:$F,27))</f>
        <v/>
      </c>
      <c r="G282" s="18" t="e">
        <f>IF(ISBLANK(INDEX('Milestone Tracker – MENA'!#REF!,27)),"",INDEX('Milestone Tracker – MENA'!#REF!,27))</f>
        <v>#REF!</v>
      </c>
      <c r="H282" s="19" t="str">
        <f>IF(ISBLANK(INDEX('Milestone Tracker – MENA'!$G:$G,27)),"",INDEX('Milestone Tracker – MENA'!$G:$G,27))</f>
        <v/>
      </c>
      <c r="I282" t="str">
        <f>IF(ISBLANK(INDEX('Milestone Tracker – MENA'!$H:$H,27)),"",INDEX('Milestone Tracker – MENA'!$H:$H,27))</f>
        <v/>
      </c>
      <c r="J282" t="e">
        <f>IF(ISBLANK(INDEX('Milestone Tracker – MENA'!#REF!,27)),"",INDEX('Milestone Tracker – MENA'!#REF!,27))</f>
        <v>#REF!</v>
      </c>
      <c r="K282">
        <f t="shared" si="8"/>
        <v>0</v>
      </c>
      <c r="L282">
        <f t="shared" si="9"/>
        <v>0</v>
      </c>
    </row>
    <row r="283" spans="1:12" x14ac:dyDescent="0.35">
      <c r="A283">
        <v>28</v>
      </c>
      <c r="B283">
        <f>IF(ISBLANK(INDEX('Milestone Tracker – MENA'!$B:$B,28)),B282,INDEX('Milestone Tracker – MENA'!$B:$B,28))</f>
        <v>0</v>
      </c>
      <c r="C283">
        <f>IF(ISBLANK(INDEX('Milestone Tracker – MENA'!$C:$C,28)),C282,INDEX('Milestone Tracker – MENA'!$C:$C,28))</f>
        <v>0</v>
      </c>
      <c r="D283">
        <f>IF(ISBLANK(INDEX('Milestone Tracker – MENA'!$D:$D,28)),D282,INDEX('Milestone Tracker – MENA'!$D:$D,28))</f>
        <v>0</v>
      </c>
      <c r="E283" t="str">
        <f>IF(ISBLANK(INDEX('Milestone Tracker – MENA'!$E:$E,28)),"",INDEX('Milestone Tracker – MENA'!$E:$E,28))</f>
        <v/>
      </c>
      <c r="F283" t="str">
        <f>IF(ISBLANK(INDEX('Milestone Tracker – MENA'!$F:$F,28)),"",INDEX('Milestone Tracker – MENA'!$F:$F,28))</f>
        <v/>
      </c>
      <c r="G283" s="18" t="e">
        <f>IF(ISBLANK(INDEX('Milestone Tracker – MENA'!#REF!,28)),"",INDEX('Milestone Tracker – MENA'!#REF!,28))</f>
        <v>#REF!</v>
      </c>
      <c r="H283" s="19" t="str">
        <f>IF(ISBLANK(INDEX('Milestone Tracker – MENA'!$G:$G,28)),"",INDEX('Milestone Tracker – MENA'!$G:$G,28))</f>
        <v/>
      </c>
      <c r="I283" t="str">
        <f>IF(ISBLANK(INDEX('Milestone Tracker – MENA'!$H:$H,28)),"",INDEX('Milestone Tracker – MENA'!$H:$H,28))</f>
        <v/>
      </c>
      <c r="J283" t="e">
        <f>IF(ISBLANK(INDEX('Milestone Tracker – MENA'!#REF!,28)),"",INDEX('Milestone Tracker – MENA'!#REF!,28))</f>
        <v>#REF!</v>
      </c>
      <c r="K283">
        <f t="shared" si="8"/>
        <v>0</v>
      </c>
      <c r="L283">
        <f t="shared" si="9"/>
        <v>0</v>
      </c>
    </row>
    <row r="284" spans="1:12" x14ac:dyDescent="0.35">
      <c r="A284">
        <v>29</v>
      </c>
      <c r="B284">
        <f>IF(ISBLANK(INDEX('Milestone Tracker – MENA'!$B:$B,29)),B283,INDEX('Milestone Tracker – MENA'!$B:$B,29))</f>
        <v>0</v>
      </c>
      <c r="C284">
        <f>IF(ISBLANK(INDEX('Milestone Tracker – MENA'!$C:$C,29)),C283,INDEX('Milestone Tracker – MENA'!$C:$C,29))</f>
        <v>0</v>
      </c>
      <c r="D284">
        <f>IF(ISBLANK(INDEX('Milestone Tracker – MENA'!$D:$D,29)),D283,INDEX('Milestone Tracker – MENA'!$D:$D,29))</f>
        <v>0</v>
      </c>
      <c r="E284" t="str">
        <f>IF(ISBLANK(INDEX('Milestone Tracker – MENA'!$E:$E,29)),"",INDEX('Milestone Tracker – MENA'!$E:$E,29))</f>
        <v/>
      </c>
      <c r="F284" t="str">
        <f>IF(ISBLANK(INDEX('Milestone Tracker – MENA'!$F:$F,29)),"",INDEX('Milestone Tracker – MENA'!$F:$F,29))</f>
        <v/>
      </c>
      <c r="G284" s="18" t="e">
        <f>IF(ISBLANK(INDEX('Milestone Tracker – MENA'!#REF!,29)),"",INDEX('Milestone Tracker – MENA'!#REF!,29))</f>
        <v>#REF!</v>
      </c>
      <c r="H284" s="19" t="str">
        <f>IF(ISBLANK(INDEX('Milestone Tracker – MENA'!$G:$G,29)),"",INDEX('Milestone Tracker – MENA'!$G:$G,29))</f>
        <v/>
      </c>
      <c r="I284" t="str">
        <f>IF(ISBLANK(INDEX('Milestone Tracker – MENA'!$H:$H,29)),"",INDEX('Milestone Tracker – MENA'!$H:$H,29))</f>
        <v/>
      </c>
      <c r="J284" t="e">
        <f>IF(ISBLANK(INDEX('Milestone Tracker – MENA'!#REF!,29)),"",INDEX('Milestone Tracker – MENA'!#REF!,29))</f>
        <v>#REF!</v>
      </c>
      <c r="K284">
        <f t="shared" si="8"/>
        <v>0</v>
      </c>
      <c r="L284">
        <f t="shared" si="9"/>
        <v>0</v>
      </c>
    </row>
    <row r="285" spans="1:12" x14ac:dyDescent="0.35">
      <c r="A285">
        <v>30</v>
      </c>
      <c r="B285">
        <f>IF(ISBLANK(INDEX('Milestone Tracker – MENA'!$B:$B,30)),B284,INDEX('Milestone Tracker – MENA'!$B:$B,30))</f>
        <v>0</v>
      </c>
      <c r="C285">
        <f>IF(ISBLANK(INDEX('Milestone Tracker – MENA'!$C:$C,30)),C284,INDEX('Milestone Tracker – MENA'!$C:$C,30))</f>
        <v>0</v>
      </c>
      <c r="D285">
        <f>IF(ISBLANK(INDEX('Milestone Tracker – MENA'!$D:$D,30)),D284,INDEX('Milestone Tracker – MENA'!$D:$D,30))</f>
        <v>0</v>
      </c>
      <c r="E285" t="str">
        <f>IF(ISBLANK(INDEX('Milestone Tracker – MENA'!$E:$E,30)),"",INDEX('Milestone Tracker – MENA'!$E:$E,30))</f>
        <v/>
      </c>
      <c r="F285" t="str">
        <f>IF(ISBLANK(INDEX('Milestone Tracker – MENA'!$F:$F,30)),"",INDEX('Milestone Tracker – MENA'!$F:$F,30))</f>
        <v/>
      </c>
      <c r="G285" s="18" t="e">
        <f>IF(ISBLANK(INDEX('Milestone Tracker – MENA'!#REF!,30)),"",INDEX('Milestone Tracker – MENA'!#REF!,30))</f>
        <v>#REF!</v>
      </c>
      <c r="H285" s="19" t="str">
        <f>IF(ISBLANK(INDEX('Milestone Tracker – MENA'!$G:$G,30)),"",INDEX('Milestone Tracker – MENA'!$G:$G,30))</f>
        <v/>
      </c>
      <c r="I285" t="str">
        <f>IF(ISBLANK(INDEX('Milestone Tracker – MENA'!$H:$H,30)),"",INDEX('Milestone Tracker – MENA'!$H:$H,30))</f>
        <v/>
      </c>
      <c r="J285" t="e">
        <f>IF(ISBLANK(INDEX('Milestone Tracker – MENA'!#REF!,30)),"",INDEX('Milestone Tracker – MENA'!#REF!,30))</f>
        <v>#REF!</v>
      </c>
      <c r="K285">
        <f t="shared" si="8"/>
        <v>0</v>
      </c>
      <c r="L285">
        <f t="shared" si="9"/>
        <v>0</v>
      </c>
    </row>
    <row r="286" spans="1:12" x14ac:dyDescent="0.35">
      <c r="A286">
        <v>31</v>
      </c>
      <c r="B286">
        <f>IF(ISBLANK(INDEX('Milestone Tracker – MENA'!$B:$B,31)),B285,INDEX('Milestone Tracker – MENA'!$B:$B,31))</f>
        <v>0</v>
      </c>
      <c r="C286">
        <f>IF(ISBLANK(INDEX('Milestone Tracker – MENA'!$C:$C,31)),C285,INDEX('Milestone Tracker – MENA'!$C:$C,31))</f>
        <v>0</v>
      </c>
      <c r="D286">
        <f>IF(ISBLANK(INDEX('Milestone Tracker – MENA'!$D:$D,31)),D285,INDEX('Milestone Tracker – MENA'!$D:$D,31))</f>
        <v>0</v>
      </c>
      <c r="E286" t="str">
        <f>IF(ISBLANK(INDEX('Milestone Tracker – MENA'!$E:$E,31)),"",INDEX('Milestone Tracker – MENA'!$E:$E,31))</f>
        <v/>
      </c>
      <c r="F286" t="str">
        <f>IF(ISBLANK(INDEX('Milestone Tracker – MENA'!$F:$F,31)),"",INDEX('Milestone Tracker – MENA'!$F:$F,31))</f>
        <v/>
      </c>
      <c r="G286" s="18" t="e">
        <f>IF(ISBLANK(INDEX('Milestone Tracker – MENA'!#REF!,31)),"",INDEX('Milestone Tracker – MENA'!#REF!,31))</f>
        <v>#REF!</v>
      </c>
      <c r="H286" s="19" t="str">
        <f>IF(ISBLANK(INDEX('Milestone Tracker – MENA'!$G:$G,31)),"",INDEX('Milestone Tracker – MENA'!$G:$G,31))</f>
        <v/>
      </c>
      <c r="I286" t="str">
        <f>IF(ISBLANK(INDEX('Milestone Tracker – MENA'!$H:$H,31)),"",INDEX('Milestone Tracker – MENA'!$H:$H,31))</f>
        <v/>
      </c>
      <c r="J286" t="e">
        <f>IF(ISBLANK(INDEX('Milestone Tracker – MENA'!#REF!,31)),"",INDEX('Milestone Tracker – MENA'!#REF!,31))</f>
        <v>#REF!</v>
      </c>
      <c r="K286">
        <f t="shared" si="8"/>
        <v>0</v>
      </c>
      <c r="L286">
        <f t="shared" si="9"/>
        <v>0</v>
      </c>
    </row>
    <row r="287" spans="1:12" x14ac:dyDescent="0.35">
      <c r="A287">
        <v>32</v>
      </c>
      <c r="B287">
        <f>IF(ISBLANK(INDEX('Milestone Tracker – MENA'!$B:$B,32)),B286,INDEX('Milestone Tracker – MENA'!$B:$B,32))</f>
        <v>0</v>
      </c>
      <c r="C287">
        <f>IF(ISBLANK(INDEX('Milestone Tracker – MENA'!$C:$C,32)),C286,INDEX('Milestone Tracker – MENA'!$C:$C,32))</f>
        <v>0</v>
      </c>
      <c r="D287">
        <f>IF(ISBLANK(INDEX('Milestone Tracker – MENA'!$D:$D,32)),D286,INDEX('Milestone Tracker – MENA'!$D:$D,32))</f>
        <v>0</v>
      </c>
      <c r="E287" t="str">
        <f>IF(ISBLANK(INDEX('Milestone Tracker – MENA'!$E:$E,32)),"",INDEX('Milestone Tracker – MENA'!$E:$E,32))</f>
        <v/>
      </c>
      <c r="F287" t="str">
        <f>IF(ISBLANK(INDEX('Milestone Tracker – MENA'!$F:$F,32)),"",INDEX('Milestone Tracker – MENA'!$F:$F,32))</f>
        <v/>
      </c>
      <c r="G287" s="18" t="e">
        <f>IF(ISBLANK(INDEX('Milestone Tracker – MENA'!#REF!,32)),"",INDEX('Milestone Tracker – MENA'!#REF!,32))</f>
        <v>#REF!</v>
      </c>
      <c r="H287" t="str">
        <f>IF(ISBLANK(INDEX('Milestone Tracker – MENA'!$G:$G,32)),"",INDEX('Milestone Tracker – MENA'!$G:$G,32))</f>
        <v/>
      </c>
      <c r="I287" t="str">
        <f>IF(ISBLANK(INDEX('Milestone Tracker – MENA'!$H:$H,32)),"",INDEX('Milestone Tracker – MENA'!$H:$H,32))</f>
        <v/>
      </c>
      <c r="J287" t="e">
        <f>IF(ISBLANK(INDEX('Milestone Tracker – MENA'!#REF!,32)),"",INDEX('Milestone Tracker – MENA'!#REF!,32))</f>
        <v>#REF!</v>
      </c>
      <c r="K287">
        <f t="shared" si="8"/>
        <v>0</v>
      </c>
      <c r="L287">
        <f t="shared" si="9"/>
        <v>0</v>
      </c>
    </row>
    <row r="288" spans="1:12" x14ac:dyDescent="0.35">
      <c r="A288">
        <v>33</v>
      </c>
      <c r="B288">
        <f>IF(ISBLANK(INDEX('Milestone Tracker – MENA'!$B:$B,33)),B287,INDEX('Milestone Tracker – MENA'!$B:$B,33))</f>
        <v>0</v>
      </c>
      <c r="C288">
        <f>IF(ISBLANK(INDEX('Milestone Tracker – MENA'!$C:$C,33)),C287,INDEX('Milestone Tracker – MENA'!$C:$C,33))</f>
        <v>0</v>
      </c>
      <c r="D288">
        <f>IF(ISBLANK(INDEX('Milestone Tracker – MENA'!$D:$D,33)),D287,INDEX('Milestone Tracker – MENA'!$D:$D,33))</f>
        <v>0</v>
      </c>
      <c r="E288" t="str">
        <f>IF(ISBLANK(INDEX('Milestone Tracker – MENA'!$E:$E,33)),"",INDEX('Milestone Tracker – MENA'!$E:$E,33))</f>
        <v/>
      </c>
      <c r="F288" t="str">
        <f>IF(ISBLANK(INDEX('Milestone Tracker – MENA'!$F:$F,33)),"",INDEX('Milestone Tracker – MENA'!$F:$F,33))</f>
        <v/>
      </c>
      <c r="G288" s="18" t="e">
        <f>IF(ISBLANK(INDEX('Milestone Tracker – MENA'!#REF!,33)),"",INDEX('Milestone Tracker – MENA'!#REF!,33))</f>
        <v>#REF!</v>
      </c>
      <c r="H288" t="str">
        <f>IF(ISBLANK(INDEX('Milestone Tracker – MENA'!$G:$G,33)),"",INDEX('Milestone Tracker – MENA'!$G:$G,33))</f>
        <v/>
      </c>
      <c r="I288" t="str">
        <f>IF(ISBLANK(INDEX('Milestone Tracker – MENA'!$H:$H,33)),"",INDEX('Milestone Tracker – MENA'!$H:$H,33))</f>
        <v/>
      </c>
      <c r="J288" s="18" t="e">
        <f>IF(ISBLANK(INDEX('Milestone Tracker – MENA'!#REF!,33)),"",INDEX('Milestone Tracker – MENA'!#REF!,33))</f>
        <v>#REF!</v>
      </c>
      <c r="K288">
        <f t="shared" si="8"/>
        <v>0</v>
      </c>
      <c r="L288">
        <f t="shared" si="9"/>
        <v>0</v>
      </c>
    </row>
    <row r="289" spans="1:12" x14ac:dyDescent="0.35">
      <c r="A289">
        <v>34</v>
      </c>
      <c r="B289">
        <f>IF(ISBLANK(INDEX('Milestone Tracker – MENA'!$B:$B,34)),B288,INDEX('Milestone Tracker – MENA'!$B:$B,34))</f>
        <v>0</v>
      </c>
      <c r="C289">
        <f>IF(ISBLANK(INDEX('Milestone Tracker – MENA'!$C:$C,34)),C288,INDEX('Milestone Tracker – MENA'!$C:$C,34))</f>
        <v>0</v>
      </c>
      <c r="D289">
        <f>IF(ISBLANK(INDEX('Milestone Tracker – MENA'!$D:$D,34)),D288,INDEX('Milestone Tracker – MENA'!$D:$D,34))</f>
        <v>0</v>
      </c>
      <c r="E289" t="str">
        <f>IF(ISBLANK(INDEX('Milestone Tracker – MENA'!$E:$E,34)),"",INDEX('Milestone Tracker – MENA'!$E:$E,34))</f>
        <v/>
      </c>
      <c r="F289" t="str">
        <f>IF(ISBLANK(INDEX('Milestone Tracker – MENA'!$F:$F,34)),"",INDEX('Milestone Tracker – MENA'!$F:$F,34))</f>
        <v/>
      </c>
      <c r="G289" s="18" t="e">
        <f>IF(ISBLANK(INDEX('Milestone Tracker – MENA'!#REF!,34)),"",INDEX('Milestone Tracker – MENA'!#REF!,34))</f>
        <v>#REF!</v>
      </c>
      <c r="H289" s="19" t="str">
        <f>IF(ISBLANK(INDEX('Milestone Tracker – MENA'!$G:$G,34)),"",INDEX('Milestone Tracker – MENA'!$G:$G,34))</f>
        <v/>
      </c>
      <c r="I289" s="19" t="str">
        <f>IF(ISBLANK(INDEX('Milestone Tracker – MENA'!$H:$H,34)),"",INDEX('Milestone Tracker – MENA'!$H:$H,34))</f>
        <v/>
      </c>
      <c r="J289" s="19" t="e">
        <f>IF(ISBLANK(INDEX('Milestone Tracker – MENA'!#REF!,34)),"",INDEX('Milestone Tracker – MENA'!#REF!,34))</f>
        <v>#REF!</v>
      </c>
      <c r="K289">
        <f t="shared" si="8"/>
        <v>0</v>
      </c>
      <c r="L289">
        <f t="shared" si="9"/>
        <v>0</v>
      </c>
    </row>
    <row r="290" spans="1:12" x14ac:dyDescent="0.35">
      <c r="A290">
        <v>35</v>
      </c>
      <c r="B290">
        <f>IF(ISBLANK(INDEX('Milestone Tracker – MENA'!$B:$B,35)),B289,INDEX('Milestone Tracker – MENA'!$B:$B,35))</f>
        <v>0</v>
      </c>
      <c r="C290">
        <f>IF(ISBLANK(INDEX('Milestone Tracker – MENA'!$C:$C,35)),C289,INDEX('Milestone Tracker – MENA'!$C:$C,35))</f>
        <v>0</v>
      </c>
      <c r="D290">
        <f>IF(ISBLANK(INDEX('Milestone Tracker – MENA'!$D:$D,35)),D289,INDEX('Milestone Tracker – MENA'!$D:$D,35))</f>
        <v>0</v>
      </c>
      <c r="E290" t="str">
        <f>IF(ISBLANK(INDEX('Milestone Tracker – MENA'!$E:$E,35)),"",INDEX('Milestone Tracker – MENA'!$E:$E,35))</f>
        <v/>
      </c>
      <c r="F290" t="str">
        <f>IF(ISBLANK(INDEX('Milestone Tracker – MENA'!$F:$F,35)),"",INDEX('Milestone Tracker – MENA'!$F:$F,35))</f>
        <v/>
      </c>
      <c r="G290" s="18" t="e">
        <f>IF(ISBLANK(INDEX('Milestone Tracker – MENA'!#REF!,35)),"",INDEX('Milestone Tracker – MENA'!#REF!,35))</f>
        <v>#REF!</v>
      </c>
      <c r="H290" s="19" t="str">
        <f>IF(ISBLANK(INDEX('Milestone Tracker – MENA'!$G:$G,35)),"",INDEX('Milestone Tracker – MENA'!$G:$G,35))</f>
        <v/>
      </c>
      <c r="I290" s="19" t="str">
        <f>IF(ISBLANK(INDEX('Milestone Tracker – MENA'!$H:$H,35)),"",INDEX('Milestone Tracker – MENA'!$H:$H,35))</f>
        <v/>
      </c>
      <c r="J290" s="19" t="e">
        <f>IF(ISBLANK(INDEX('Milestone Tracker – MENA'!#REF!,35)),"",INDEX('Milestone Tracker – MENA'!#REF!,35))</f>
        <v>#REF!</v>
      </c>
      <c r="K290">
        <f t="shared" si="8"/>
        <v>0</v>
      </c>
      <c r="L290">
        <f t="shared" si="9"/>
        <v>0</v>
      </c>
    </row>
    <row r="291" spans="1:12" x14ac:dyDescent="0.35">
      <c r="A291">
        <v>36</v>
      </c>
      <c r="B291">
        <f>IF(ISBLANK(INDEX('Milestone Tracker – MENA'!$B:$B,36)),B290,INDEX('Milestone Tracker – MENA'!$B:$B,36))</f>
        <v>0</v>
      </c>
      <c r="C291">
        <f>IF(ISBLANK(INDEX('Milestone Tracker – MENA'!$C:$C,36)),C290,INDEX('Milestone Tracker – MENA'!$C:$C,36))</f>
        <v>0</v>
      </c>
      <c r="D291">
        <f>IF(ISBLANK(INDEX('Milestone Tracker – MENA'!$D:$D,36)),D290,INDEX('Milestone Tracker – MENA'!$D:$D,36))</f>
        <v>0</v>
      </c>
      <c r="E291" t="str">
        <f>IF(ISBLANK(INDEX('Milestone Tracker – MENA'!$E:$E,36)),"",INDEX('Milestone Tracker – MENA'!$E:$E,36))</f>
        <v/>
      </c>
      <c r="F291" t="str">
        <f>IF(ISBLANK(INDEX('Milestone Tracker – MENA'!$F:$F,36)),"",INDEX('Milestone Tracker – MENA'!$F:$F,36))</f>
        <v/>
      </c>
      <c r="G291" s="18" t="e">
        <f>IF(ISBLANK(INDEX('Milestone Tracker – MENA'!#REF!,36)),"",INDEX('Milestone Tracker – MENA'!#REF!,36))</f>
        <v>#REF!</v>
      </c>
      <c r="H291" s="19" t="str">
        <f>IF(ISBLANK(INDEX('Milestone Tracker – MENA'!$G:$G,36)),"",INDEX('Milestone Tracker – MENA'!$G:$G,36))</f>
        <v/>
      </c>
      <c r="I291" s="19" t="str">
        <f>IF(ISBLANK(INDEX('Milestone Tracker – MENA'!$H:$H,36)),"",INDEX('Milestone Tracker – MENA'!$H:$H,36))</f>
        <v/>
      </c>
      <c r="J291" s="19" t="e">
        <f>IF(ISBLANK(INDEX('Milestone Tracker – MENA'!#REF!,36)),"",INDEX('Milestone Tracker – MENA'!#REF!,36))</f>
        <v>#REF!</v>
      </c>
      <c r="K291">
        <f t="shared" si="8"/>
        <v>0</v>
      </c>
      <c r="L291">
        <f t="shared" si="9"/>
        <v>0</v>
      </c>
    </row>
    <row r="292" spans="1:12" x14ac:dyDescent="0.35">
      <c r="A292">
        <v>37</v>
      </c>
      <c r="B292">
        <f>IF(ISBLANK(INDEX('Milestone Tracker – MENA'!$B:$B,37)),B291,INDEX('Milestone Tracker – MENA'!$B:$B,37))</f>
        <v>0</v>
      </c>
      <c r="C292">
        <f>IF(ISBLANK(INDEX('Milestone Tracker – MENA'!$C:$C,37)),C291,INDEX('Milestone Tracker – MENA'!$C:$C,37))</f>
        <v>0</v>
      </c>
      <c r="D292">
        <f>IF(ISBLANK(INDEX('Milestone Tracker – MENA'!$D:$D,37)),D291,INDEX('Milestone Tracker – MENA'!$D:$D,37))</f>
        <v>0</v>
      </c>
      <c r="E292" t="str">
        <f>IF(ISBLANK(INDEX('Milestone Tracker – MENA'!$E:$E,37)),"",INDEX('Milestone Tracker – MENA'!$E:$E,37))</f>
        <v/>
      </c>
      <c r="F292" t="str">
        <f>IF(ISBLANK(INDEX('Milestone Tracker – MENA'!$F:$F,37)),"",INDEX('Milestone Tracker – MENA'!$F:$F,37))</f>
        <v/>
      </c>
      <c r="G292" s="18" t="e">
        <f>IF(ISBLANK(INDEX('Milestone Tracker – MENA'!#REF!,37)),"",INDEX('Milestone Tracker – MENA'!#REF!,37))</f>
        <v>#REF!</v>
      </c>
      <c r="H292" s="19" t="str">
        <f>IF(ISBLANK(INDEX('Milestone Tracker – MENA'!$G:$G,37)),"",INDEX('Milestone Tracker – MENA'!$G:$G,37))</f>
        <v/>
      </c>
      <c r="I292" t="str">
        <f>IF(ISBLANK(INDEX('Milestone Tracker – MENA'!$H:$H,37)),"",INDEX('Milestone Tracker – MENA'!$H:$H,37))</f>
        <v/>
      </c>
      <c r="J292" t="e">
        <f>IF(ISBLANK(INDEX('Milestone Tracker – MENA'!#REF!,37)),"",INDEX('Milestone Tracker – MENA'!#REF!,37))</f>
        <v>#REF!</v>
      </c>
      <c r="K292">
        <f t="shared" si="8"/>
        <v>0</v>
      </c>
      <c r="L292">
        <f t="shared" si="9"/>
        <v>0</v>
      </c>
    </row>
    <row r="293" spans="1:12" x14ac:dyDescent="0.35">
      <c r="A293">
        <v>38</v>
      </c>
      <c r="B293">
        <f>IF(ISBLANK(INDEX('Milestone Tracker – MENA'!$B:$B,38)),B292,INDEX('Milestone Tracker – MENA'!$B:$B,38))</f>
        <v>0</v>
      </c>
      <c r="C293">
        <f>IF(ISBLANK(INDEX('Milestone Tracker – MENA'!$C:$C,38)),C292,INDEX('Milestone Tracker – MENA'!$C:$C,38))</f>
        <v>0</v>
      </c>
      <c r="D293">
        <f>IF(ISBLANK(INDEX('Milestone Tracker – MENA'!$D:$D,38)),D292,INDEX('Milestone Tracker – MENA'!$D:$D,38))</f>
        <v>0</v>
      </c>
      <c r="E293" t="str">
        <f>IF(ISBLANK(INDEX('Milestone Tracker – MENA'!$E:$E,38)),"",INDEX('Milestone Tracker – MENA'!$E:$E,38))</f>
        <v/>
      </c>
      <c r="F293" t="str">
        <f>IF(ISBLANK(INDEX('Milestone Tracker – MENA'!$F:$F,38)),"",INDEX('Milestone Tracker – MENA'!$F:$F,38))</f>
        <v/>
      </c>
      <c r="G293" s="18" t="e">
        <f>IF(ISBLANK(INDEX('Milestone Tracker – MENA'!#REF!,38)),"",INDEX('Milestone Tracker – MENA'!#REF!,38))</f>
        <v>#REF!</v>
      </c>
      <c r="H293" s="19" t="str">
        <f>IF(ISBLANK(INDEX('Milestone Tracker – MENA'!$G:$G,38)),"",INDEX('Milestone Tracker – MENA'!$G:$G,38))</f>
        <v/>
      </c>
      <c r="I293" t="str">
        <f>IF(ISBLANK(INDEX('Milestone Tracker – MENA'!$H:$H,38)),"",INDEX('Milestone Tracker – MENA'!$H:$H,38))</f>
        <v/>
      </c>
      <c r="J293" t="e">
        <f>IF(ISBLANK(INDEX('Milestone Tracker – MENA'!#REF!,38)),"",INDEX('Milestone Tracker – MENA'!#REF!,38))</f>
        <v>#REF!</v>
      </c>
      <c r="K293">
        <f t="shared" si="8"/>
        <v>0</v>
      </c>
      <c r="L293">
        <f t="shared" si="9"/>
        <v>0</v>
      </c>
    </row>
    <row r="294" spans="1:12" x14ac:dyDescent="0.35">
      <c r="A294">
        <v>39</v>
      </c>
      <c r="B294">
        <f>IF(ISBLANK(INDEX('Milestone Tracker – MENA'!$B:$B,39)),B293,INDEX('Milestone Tracker – MENA'!$B:$B,39))</f>
        <v>0</v>
      </c>
      <c r="C294">
        <f>IF(ISBLANK(INDEX('Milestone Tracker – MENA'!$C:$C,39)),C293,INDEX('Milestone Tracker – MENA'!$C:$C,39))</f>
        <v>0</v>
      </c>
      <c r="D294">
        <f>IF(ISBLANK(INDEX('Milestone Tracker – MENA'!$D:$D,39)),D293,INDEX('Milestone Tracker – MENA'!$D:$D,39))</f>
        <v>0</v>
      </c>
      <c r="E294" t="str">
        <f>IF(ISBLANK(INDEX('Milestone Tracker – MENA'!$E:$E,39)),"",INDEX('Milestone Tracker – MENA'!$E:$E,39))</f>
        <v/>
      </c>
      <c r="F294" t="str">
        <f>IF(ISBLANK(INDEX('Milestone Tracker – MENA'!$F:$F,39)),"",INDEX('Milestone Tracker – MENA'!$F:$F,39))</f>
        <v/>
      </c>
      <c r="G294" s="18" t="e">
        <f>IF(ISBLANK(INDEX('Milestone Tracker – MENA'!#REF!,39)),"",INDEX('Milestone Tracker – MENA'!#REF!,39))</f>
        <v>#REF!</v>
      </c>
      <c r="H294" s="19" t="str">
        <f>IF(ISBLANK(INDEX('Milestone Tracker – MENA'!$G:$G,39)),"",INDEX('Milestone Tracker – MENA'!$G:$G,39))</f>
        <v/>
      </c>
      <c r="I294" t="str">
        <f>IF(ISBLANK(INDEX('Milestone Tracker – MENA'!$H:$H,39)),"",INDEX('Milestone Tracker – MENA'!$H:$H,39))</f>
        <v/>
      </c>
      <c r="J294" t="e">
        <f>IF(ISBLANK(INDEX('Milestone Tracker – MENA'!#REF!,39)),"",INDEX('Milestone Tracker – MENA'!#REF!,39))</f>
        <v>#REF!</v>
      </c>
      <c r="K294">
        <f t="shared" si="8"/>
        <v>0</v>
      </c>
      <c r="L294">
        <f t="shared" si="9"/>
        <v>0</v>
      </c>
    </row>
    <row r="295" spans="1:12" x14ac:dyDescent="0.35">
      <c r="A295">
        <v>40</v>
      </c>
      <c r="B295">
        <f>IF(ISBLANK(INDEX('Milestone Tracker – MENA'!$B:$B,40)),B294,INDEX('Milestone Tracker – MENA'!$B:$B,40))</f>
        <v>0</v>
      </c>
      <c r="C295">
        <f>IF(ISBLANK(INDEX('Milestone Tracker – MENA'!$C:$C,40)),C294,INDEX('Milestone Tracker – MENA'!$C:$C,40))</f>
        <v>0</v>
      </c>
      <c r="D295">
        <f>IF(ISBLANK(INDEX('Milestone Tracker – MENA'!$D:$D,40)),D294,INDEX('Milestone Tracker – MENA'!$D:$D,40))</f>
        <v>0</v>
      </c>
      <c r="E295" t="str">
        <f>IF(ISBLANK(INDEX('Milestone Tracker – MENA'!$E:$E,40)),"",INDEX('Milestone Tracker – MENA'!$E:$E,40))</f>
        <v/>
      </c>
      <c r="F295" t="str">
        <f>IF(ISBLANK(INDEX('Milestone Tracker – MENA'!$F:$F,40)),"",INDEX('Milestone Tracker – MENA'!$F:$F,40))</f>
        <v/>
      </c>
      <c r="G295" s="18" t="e">
        <f>IF(ISBLANK(INDEX('Milestone Tracker – MENA'!#REF!,40)),"",INDEX('Milestone Tracker – MENA'!#REF!,40))</f>
        <v>#REF!</v>
      </c>
      <c r="H295" s="19" t="str">
        <f>IF(ISBLANK(INDEX('Milestone Tracker – MENA'!$G:$G,40)),"",INDEX('Milestone Tracker – MENA'!$G:$G,40))</f>
        <v/>
      </c>
      <c r="I295" t="str">
        <f>IF(ISBLANK(INDEX('Milestone Tracker – MENA'!$H:$H,40)),"",INDEX('Milestone Tracker – MENA'!$H:$H,40))</f>
        <v/>
      </c>
      <c r="J295" t="e">
        <f>IF(ISBLANK(INDEX('Milestone Tracker – MENA'!#REF!,40)),"",INDEX('Milestone Tracker – MENA'!#REF!,40))</f>
        <v>#REF!</v>
      </c>
      <c r="K295">
        <f t="shared" si="8"/>
        <v>0</v>
      </c>
      <c r="L295">
        <f t="shared" si="9"/>
        <v>0</v>
      </c>
    </row>
    <row r="296" spans="1:12" x14ac:dyDescent="0.35">
      <c r="A296">
        <v>41</v>
      </c>
      <c r="B296">
        <f>IF(ISBLANK(INDEX('Milestone Tracker – MENA'!$B:$B,41)),B295,INDEX('Milestone Tracker – MENA'!$B:$B,41))</f>
        <v>0</v>
      </c>
      <c r="C296">
        <f>IF(ISBLANK(INDEX('Milestone Tracker – MENA'!$C:$C,41)),C295,INDEX('Milestone Tracker – MENA'!$C:$C,41))</f>
        <v>0</v>
      </c>
      <c r="D296">
        <f>IF(ISBLANK(INDEX('Milestone Tracker – MENA'!$D:$D,41)),D295,INDEX('Milestone Tracker – MENA'!$D:$D,41))</f>
        <v>0</v>
      </c>
      <c r="E296" t="str">
        <f>IF(ISBLANK(INDEX('Milestone Tracker – MENA'!$E:$E,41)),"",INDEX('Milestone Tracker – MENA'!$E:$E,41))</f>
        <v/>
      </c>
      <c r="F296" t="str">
        <f>IF(ISBLANK(INDEX('Milestone Tracker – MENA'!$F:$F,41)),"",INDEX('Milestone Tracker – MENA'!$F:$F,41))</f>
        <v/>
      </c>
      <c r="G296" s="18" t="e">
        <f>IF(ISBLANK(INDEX('Milestone Tracker – MENA'!#REF!,41)),"",INDEX('Milestone Tracker – MENA'!#REF!,41))</f>
        <v>#REF!</v>
      </c>
      <c r="H296" s="19" t="str">
        <f>IF(ISBLANK(INDEX('Milestone Tracker – MENA'!$G:$G,41)),"",INDEX('Milestone Tracker – MENA'!$G:$G,41))</f>
        <v/>
      </c>
      <c r="I296" t="str">
        <f>IF(ISBLANK(INDEX('Milestone Tracker – MENA'!$H:$H,41)),"",INDEX('Milestone Tracker – MENA'!$H:$H,41))</f>
        <v/>
      </c>
      <c r="J296" t="e">
        <f>IF(ISBLANK(INDEX('Milestone Tracker – MENA'!#REF!,41)),"",INDEX('Milestone Tracker – MENA'!#REF!,41))</f>
        <v>#REF!</v>
      </c>
      <c r="K296">
        <f t="shared" si="8"/>
        <v>0</v>
      </c>
      <c r="L296">
        <f t="shared" si="9"/>
        <v>0</v>
      </c>
    </row>
    <row r="297" spans="1:12" x14ac:dyDescent="0.35">
      <c r="A297">
        <v>42</v>
      </c>
      <c r="B297">
        <f>IF(ISBLANK(INDEX('Milestone Tracker – MENA'!$B:$B,42)),B296,INDEX('Milestone Tracker – MENA'!$B:$B,42))</f>
        <v>0</v>
      </c>
      <c r="C297">
        <f>IF(ISBLANK(INDEX('Milestone Tracker – MENA'!$C:$C,42)),C296,INDEX('Milestone Tracker – MENA'!$C:$C,42))</f>
        <v>0</v>
      </c>
      <c r="D297">
        <f>IF(ISBLANK(INDEX('Milestone Tracker – MENA'!$D:$D,42)),D296,INDEX('Milestone Tracker – MENA'!$D:$D,42))</f>
        <v>0</v>
      </c>
      <c r="E297" t="str">
        <f>IF(ISBLANK(INDEX('Milestone Tracker – MENA'!$E:$E,42)),"",INDEX('Milestone Tracker – MENA'!$E:$E,42))</f>
        <v/>
      </c>
      <c r="F297" t="str">
        <f>IF(ISBLANK(INDEX('Milestone Tracker – MENA'!$F:$F,42)),"",INDEX('Milestone Tracker – MENA'!$F:$F,42))</f>
        <v/>
      </c>
      <c r="G297" s="18" t="e">
        <f>IF(ISBLANK(INDEX('Milestone Tracker – MENA'!#REF!,42)),"",INDEX('Milestone Tracker – MENA'!#REF!,42))</f>
        <v>#REF!</v>
      </c>
      <c r="H297" t="str">
        <f>IF(ISBLANK(INDEX('Milestone Tracker – MENA'!$G:$G,42)),"",INDEX('Milestone Tracker – MENA'!$G:$G,42))</f>
        <v/>
      </c>
      <c r="I297" t="str">
        <f>IF(ISBLANK(INDEX('Milestone Tracker – MENA'!$H:$H,42)),"",INDEX('Milestone Tracker – MENA'!$H:$H,42))</f>
        <v/>
      </c>
      <c r="J297" t="e">
        <f>IF(ISBLANK(INDEX('Milestone Tracker – MENA'!#REF!,42)),"",INDEX('Milestone Tracker – MENA'!#REF!,42))</f>
        <v>#REF!</v>
      </c>
      <c r="K297">
        <f t="shared" si="8"/>
        <v>0</v>
      </c>
      <c r="L297">
        <f t="shared" si="9"/>
        <v>0</v>
      </c>
    </row>
    <row r="298" spans="1:12" x14ac:dyDescent="0.35">
      <c r="A298">
        <v>43</v>
      </c>
      <c r="B298">
        <f>IF(ISBLANK(INDEX('Milestone Tracker – MENA'!$B:$B,43)),B297,INDEX('Milestone Tracker – MENA'!$B:$B,43))</f>
        <v>0</v>
      </c>
      <c r="C298">
        <f>IF(ISBLANK(INDEX('Milestone Tracker – MENA'!$C:$C,43)),C297,INDEX('Milestone Tracker – MENA'!$C:$C,43))</f>
        <v>0</v>
      </c>
      <c r="D298">
        <f>IF(ISBLANK(INDEX('Milestone Tracker – MENA'!$D:$D,43)),D297,INDEX('Milestone Tracker – MENA'!$D:$D,43))</f>
        <v>0</v>
      </c>
      <c r="E298" t="str">
        <f>IF(ISBLANK(INDEX('Milestone Tracker – MENA'!$E:$E,43)),"",INDEX('Milestone Tracker – MENA'!$E:$E,43))</f>
        <v/>
      </c>
      <c r="F298" t="str">
        <f>IF(ISBLANK(INDEX('Milestone Tracker – MENA'!$F:$F,43)),"",INDEX('Milestone Tracker – MENA'!$F:$F,43))</f>
        <v/>
      </c>
      <c r="G298" t="e">
        <f>IF(ISBLANK(INDEX('Milestone Tracker – MENA'!#REF!,43)),"",INDEX('Milestone Tracker – MENA'!#REF!,43))</f>
        <v>#REF!</v>
      </c>
      <c r="H298" t="str">
        <f>IF(ISBLANK(INDEX('Milestone Tracker – MENA'!$G:$G,43)),"",INDEX('Milestone Tracker – MENA'!$G:$G,43))</f>
        <v/>
      </c>
      <c r="I298" t="str">
        <f>IF(ISBLANK(INDEX('Milestone Tracker – MENA'!$H:$H,43)),"",INDEX('Milestone Tracker – MENA'!$H:$H,43))</f>
        <v/>
      </c>
      <c r="J298" t="e">
        <f>IF(ISBLANK(INDEX('Milestone Tracker – MENA'!#REF!,43)),"",INDEX('Milestone Tracker – MENA'!#REF!,43))</f>
        <v>#REF!</v>
      </c>
      <c r="K298">
        <f t="shared" si="8"/>
        <v>0</v>
      </c>
      <c r="L298">
        <f t="shared" si="9"/>
        <v>0</v>
      </c>
    </row>
    <row r="299" spans="1:12" x14ac:dyDescent="0.35">
      <c r="A299">
        <v>44</v>
      </c>
      <c r="B299">
        <f>IF(ISBLANK(INDEX('Milestone Tracker – MENA'!$B:$B,44)),B298,INDEX('Milestone Tracker – MENA'!$B:$B,44))</f>
        <v>0</v>
      </c>
      <c r="C299">
        <f>IF(ISBLANK(INDEX('Milestone Tracker – MENA'!$C:$C,44)),C298,INDEX('Milestone Tracker – MENA'!$C:$C,44))</f>
        <v>0</v>
      </c>
      <c r="D299">
        <f>IF(ISBLANK(INDEX('Milestone Tracker – MENA'!$D:$D,44)),D298,INDEX('Milestone Tracker – MENA'!$D:$D,44))</f>
        <v>0</v>
      </c>
      <c r="E299" t="str">
        <f>IF(ISBLANK(INDEX('Milestone Tracker – MENA'!$E:$E,44)),"",INDEX('Milestone Tracker – MENA'!$E:$E,44))</f>
        <v/>
      </c>
      <c r="F299" t="str">
        <f>IF(ISBLANK(INDEX('Milestone Tracker – MENA'!$F:$F,44)),"",INDEX('Milestone Tracker – MENA'!$F:$F,44))</f>
        <v/>
      </c>
      <c r="G299" s="18" t="e">
        <f>IF(ISBLANK(INDEX('Milestone Tracker – MENA'!#REF!,44)),"",INDEX('Milestone Tracker – MENA'!#REF!,44))</f>
        <v>#REF!</v>
      </c>
      <c r="H299" t="str">
        <f>IF(ISBLANK(INDEX('Milestone Tracker – MENA'!$G:$G,44)),"",INDEX('Milestone Tracker – MENA'!$G:$G,44))</f>
        <v/>
      </c>
      <c r="I299" t="str">
        <f>IF(ISBLANK(INDEX('Milestone Tracker – MENA'!$H:$H,44)),"",INDEX('Milestone Tracker – MENA'!$H:$H,44))</f>
        <v/>
      </c>
      <c r="J299" s="18" t="e">
        <f>IF(ISBLANK(INDEX('Milestone Tracker – MENA'!#REF!,44)),"",INDEX('Milestone Tracker – MENA'!#REF!,44))</f>
        <v>#REF!</v>
      </c>
      <c r="K299">
        <f t="shared" si="8"/>
        <v>0</v>
      </c>
      <c r="L299">
        <f t="shared" si="9"/>
        <v>0</v>
      </c>
    </row>
    <row r="300" spans="1:12" x14ac:dyDescent="0.35">
      <c r="A300">
        <v>45</v>
      </c>
      <c r="B300">
        <f>IF(ISBLANK(INDEX('Milestone Tracker – MENA'!$B:$B,45)),B299,INDEX('Milestone Tracker – MENA'!$B:$B,45))</f>
        <v>0</v>
      </c>
      <c r="C300">
        <f>IF(ISBLANK(INDEX('Milestone Tracker – MENA'!$C:$C,45)),C299,INDEX('Milestone Tracker – MENA'!$C:$C,45))</f>
        <v>0</v>
      </c>
      <c r="D300">
        <f>IF(ISBLANK(INDEX('Milestone Tracker – MENA'!$D:$D,45)),D299,INDEX('Milestone Tracker – MENA'!$D:$D,45))</f>
        <v>0</v>
      </c>
      <c r="E300" t="str">
        <f>IF(ISBLANK(INDEX('Milestone Tracker – MENA'!$E:$E,45)),"",INDEX('Milestone Tracker – MENA'!$E:$E,45))</f>
        <v/>
      </c>
      <c r="F300" t="str">
        <f>IF(ISBLANK(INDEX('Milestone Tracker – MENA'!$F:$F,45)),"",INDEX('Milestone Tracker – MENA'!$F:$F,45))</f>
        <v/>
      </c>
      <c r="G300" t="e">
        <f>IF(ISBLANK(INDEX('Milestone Tracker – MENA'!#REF!,45)),"",INDEX('Milestone Tracker – MENA'!#REF!,45))</f>
        <v>#REF!</v>
      </c>
      <c r="H300" t="str">
        <f>IF(ISBLANK(INDEX('Milestone Tracker – MENA'!$G:$G,45)),"",INDEX('Milestone Tracker – MENA'!$G:$G,45))</f>
        <v/>
      </c>
      <c r="I300" t="str">
        <f>IF(ISBLANK(INDEX('Milestone Tracker – MENA'!$H:$H,45)),"",INDEX('Milestone Tracker – MENA'!$H:$H,45))</f>
        <v/>
      </c>
      <c r="J300" t="e">
        <f>IF(ISBLANK(INDEX('Milestone Tracker – MENA'!#REF!,45)),"",INDEX('Milestone Tracker – MENA'!#REF!,45))</f>
        <v>#REF!</v>
      </c>
      <c r="K300">
        <f t="shared" si="8"/>
        <v>0</v>
      </c>
      <c r="L300">
        <f t="shared" si="9"/>
        <v>0</v>
      </c>
    </row>
    <row r="301" spans="1:12" x14ac:dyDescent="0.35">
      <c r="A301">
        <v>46</v>
      </c>
      <c r="B301">
        <f>IF(ISBLANK(INDEX('Milestone Tracker – MENA'!$B:$B,46)),B300,INDEX('Milestone Tracker – MENA'!$B:$B,46))</f>
        <v>0</v>
      </c>
      <c r="C301">
        <f>IF(ISBLANK(INDEX('Milestone Tracker – MENA'!$C:$C,46)),C300,INDEX('Milestone Tracker – MENA'!$C:$C,46))</f>
        <v>0</v>
      </c>
      <c r="D301">
        <f>IF(ISBLANK(INDEX('Milestone Tracker – MENA'!$D:$D,46)),D300,INDEX('Milestone Tracker – MENA'!$D:$D,46))</f>
        <v>0</v>
      </c>
      <c r="E301" t="str">
        <f>IF(ISBLANK(INDEX('Milestone Tracker – MENA'!$E:$E,46)),"",INDEX('Milestone Tracker – MENA'!$E:$E,46))</f>
        <v/>
      </c>
      <c r="F301" t="str">
        <f>IF(ISBLANK(INDEX('Milestone Tracker – MENA'!$F:$F,46)),"",INDEX('Milestone Tracker – MENA'!$F:$F,46))</f>
        <v/>
      </c>
      <c r="G301" t="e">
        <f>IF(ISBLANK(INDEX('Milestone Tracker – MENA'!#REF!,46)),"",INDEX('Milestone Tracker – MENA'!#REF!,46))</f>
        <v>#REF!</v>
      </c>
      <c r="H301" t="str">
        <f>IF(ISBLANK(INDEX('Milestone Tracker – MENA'!$G:$G,46)),"",INDEX('Milestone Tracker – MENA'!$G:$G,46))</f>
        <v/>
      </c>
      <c r="I301" t="str">
        <f>IF(ISBLANK(INDEX('Milestone Tracker – MENA'!$H:$H,46)),"",INDEX('Milestone Tracker – MENA'!$H:$H,46))</f>
        <v/>
      </c>
      <c r="J301" t="e">
        <f>IF(ISBLANK(INDEX('Milestone Tracker – MENA'!#REF!,46)),"",INDEX('Milestone Tracker – MENA'!#REF!,46))</f>
        <v>#REF!</v>
      </c>
      <c r="K301">
        <f t="shared" si="8"/>
        <v>0</v>
      </c>
      <c r="L301">
        <f t="shared" si="9"/>
        <v>0</v>
      </c>
    </row>
    <row r="302" spans="1:12" x14ac:dyDescent="0.35">
      <c r="A302">
        <v>47</v>
      </c>
      <c r="B302">
        <f>IF(ISBLANK(INDEX('Milestone Tracker – MENA'!$B:$B,47)),B301,INDEX('Milestone Tracker – MENA'!$B:$B,47))</f>
        <v>0</v>
      </c>
      <c r="C302">
        <f>IF(ISBLANK(INDEX('Milestone Tracker – MENA'!$C:$C,47)),C301,INDEX('Milestone Tracker – MENA'!$C:$C,47))</f>
        <v>0</v>
      </c>
      <c r="D302">
        <f>IF(ISBLANK(INDEX('Milestone Tracker – MENA'!$D:$D,47)),D301,INDEX('Milestone Tracker – MENA'!$D:$D,47))</f>
        <v>0</v>
      </c>
      <c r="E302" t="str">
        <f>IF(ISBLANK(INDEX('Milestone Tracker – MENA'!$E:$E,47)),"",INDEX('Milestone Tracker – MENA'!$E:$E,47))</f>
        <v/>
      </c>
      <c r="F302" t="str">
        <f>IF(ISBLANK(INDEX('Milestone Tracker – MENA'!$F:$F,47)),"",INDEX('Milestone Tracker – MENA'!$F:$F,47))</f>
        <v/>
      </c>
      <c r="G302" t="e">
        <f>IF(ISBLANK(INDEX('Milestone Tracker – MENA'!#REF!,47)),"",INDEX('Milestone Tracker – MENA'!#REF!,47))</f>
        <v>#REF!</v>
      </c>
      <c r="H302" t="str">
        <f>IF(ISBLANK(INDEX('Milestone Tracker – MENA'!$G:$G,47)),"",INDEX('Milestone Tracker – MENA'!$G:$G,47))</f>
        <v/>
      </c>
      <c r="I302" t="str">
        <f>IF(ISBLANK(INDEX('Milestone Tracker – MENA'!$H:$H,47)),"",INDEX('Milestone Tracker – MENA'!$H:$H,47))</f>
        <v/>
      </c>
      <c r="J302" t="e">
        <f>IF(ISBLANK(INDEX('Milestone Tracker – MENA'!#REF!,47)),"",INDEX('Milestone Tracker – MENA'!#REF!,47))</f>
        <v>#REF!</v>
      </c>
      <c r="K302">
        <f t="shared" si="8"/>
        <v>0</v>
      </c>
      <c r="L302">
        <f t="shared" si="9"/>
        <v>0</v>
      </c>
    </row>
    <row r="303" spans="1:12" x14ac:dyDescent="0.35">
      <c r="A303">
        <v>48</v>
      </c>
      <c r="B303">
        <f>IF(ISBLANK(INDEX('Milestone Tracker – MENA'!$B:$B,48)),B302,INDEX('Milestone Tracker – MENA'!$B:$B,48))</f>
        <v>0</v>
      </c>
      <c r="C303">
        <f>IF(ISBLANK(INDEX('Milestone Tracker – MENA'!$C:$C,48)),C302,INDEX('Milestone Tracker – MENA'!$C:$C,48))</f>
        <v>0</v>
      </c>
      <c r="D303">
        <f>IF(ISBLANK(INDEX('Milestone Tracker – MENA'!$D:$D,48)),D302,INDEX('Milestone Tracker – MENA'!$D:$D,48))</f>
        <v>0</v>
      </c>
      <c r="E303" t="str">
        <f>IF(ISBLANK(INDEX('Milestone Tracker – MENA'!$E:$E,48)),"",INDEX('Milestone Tracker – MENA'!$E:$E,48))</f>
        <v/>
      </c>
      <c r="F303" t="str">
        <f>IF(ISBLANK(INDEX('Milestone Tracker – MENA'!$F:$F,48)),"",INDEX('Milestone Tracker – MENA'!$F:$F,48))</f>
        <v/>
      </c>
      <c r="G303" t="e">
        <f>IF(ISBLANK(INDEX('Milestone Tracker – MENA'!#REF!,48)),"",INDEX('Milestone Tracker – MENA'!#REF!,48))</f>
        <v>#REF!</v>
      </c>
      <c r="H303" t="str">
        <f>IF(ISBLANK(INDEX('Milestone Tracker – MENA'!$G:$G,48)),"",INDEX('Milestone Tracker – MENA'!$G:$G,48))</f>
        <v/>
      </c>
      <c r="I303" t="str">
        <f>IF(ISBLANK(INDEX('Milestone Tracker – MENA'!$H:$H,48)),"",INDEX('Milestone Tracker – MENA'!$H:$H,48))</f>
        <v/>
      </c>
      <c r="J303" t="e">
        <f>IF(ISBLANK(INDEX('Milestone Tracker – MENA'!#REF!,48)),"",INDEX('Milestone Tracker – MENA'!#REF!,48))</f>
        <v>#REF!</v>
      </c>
      <c r="K303">
        <f t="shared" si="8"/>
        <v>0</v>
      </c>
      <c r="L303">
        <f t="shared" si="9"/>
        <v>0</v>
      </c>
    </row>
    <row r="304" spans="1:12" x14ac:dyDescent="0.35">
      <c r="A304">
        <v>49</v>
      </c>
      <c r="B304">
        <f>IF(ISBLANK(INDEX('Milestone Tracker – MENA'!$B:$B,49)),B303,INDEX('Milestone Tracker – MENA'!$B:$B,49))</f>
        <v>0</v>
      </c>
      <c r="C304">
        <f>IF(ISBLANK(INDEX('Milestone Tracker – MENA'!$C:$C,49)),C303,INDEX('Milestone Tracker – MENA'!$C:$C,49))</f>
        <v>0</v>
      </c>
      <c r="D304">
        <f>IF(ISBLANK(INDEX('Milestone Tracker – MENA'!$D:$D,49)),D303,INDEX('Milestone Tracker – MENA'!$D:$D,49))</f>
        <v>0</v>
      </c>
      <c r="E304" t="str">
        <f>IF(ISBLANK(INDEX('Milestone Tracker – MENA'!$E:$E,49)),"",INDEX('Milestone Tracker – MENA'!$E:$E,49))</f>
        <v/>
      </c>
      <c r="F304" t="str">
        <f>IF(ISBLANK(INDEX('Milestone Tracker – MENA'!$F:$F,49)),"",INDEX('Milestone Tracker – MENA'!$F:$F,49))</f>
        <v/>
      </c>
      <c r="G304" t="e">
        <f>IF(ISBLANK(INDEX('Milestone Tracker – MENA'!#REF!,49)),"",INDEX('Milestone Tracker – MENA'!#REF!,49))</f>
        <v>#REF!</v>
      </c>
      <c r="H304" t="str">
        <f>IF(ISBLANK(INDEX('Milestone Tracker – MENA'!$G:$G,49)),"",INDEX('Milestone Tracker – MENA'!$G:$G,49))</f>
        <v/>
      </c>
      <c r="I304" t="str">
        <f>IF(ISBLANK(INDEX('Milestone Tracker – MENA'!$H:$H,49)),"",INDEX('Milestone Tracker – MENA'!$H:$H,49))</f>
        <v/>
      </c>
      <c r="J304" t="e">
        <f>IF(ISBLANK(INDEX('Milestone Tracker – MENA'!#REF!,49)),"",INDEX('Milestone Tracker – MENA'!#REF!,49))</f>
        <v>#REF!</v>
      </c>
      <c r="K304">
        <f t="shared" si="8"/>
        <v>0</v>
      </c>
      <c r="L304">
        <f t="shared" si="9"/>
        <v>0</v>
      </c>
    </row>
    <row r="305" spans="1:12" x14ac:dyDescent="0.35">
      <c r="A305">
        <v>50</v>
      </c>
      <c r="B305">
        <f>IF(ISBLANK(INDEX('Milestone Tracker – MENA'!$B:$B,50)),B304,INDEX('Milestone Tracker – MENA'!$B:$B,50))</f>
        <v>0</v>
      </c>
      <c r="C305">
        <f>IF(ISBLANK(INDEX('Milestone Tracker – MENA'!$C:$C,50)),C304,INDEX('Milestone Tracker – MENA'!$C:$C,50))</f>
        <v>0</v>
      </c>
      <c r="D305">
        <f>IF(ISBLANK(INDEX('Milestone Tracker – MENA'!$D:$D,50)),D304,INDEX('Milestone Tracker – MENA'!$D:$D,50))</f>
        <v>0</v>
      </c>
      <c r="E305" t="str">
        <f>IF(ISBLANK(INDEX('Milestone Tracker – MENA'!$E:$E,50)),"",INDEX('Milestone Tracker – MENA'!$E:$E,50))</f>
        <v/>
      </c>
      <c r="F305" t="str">
        <f>IF(ISBLANK(INDEX('Milestone Tracker – MENA'!$F:$F,50)),"",INDEX('Milestone Tracker – MENA'!$F:$F,50))</f>
        <v/>
      </c>
      <c r="G305" t="e">
        <f>IF(ISBLANK(INDEX('Milestone Tracker – MENA'!#REF!,50)),"",INDEX('Milestone Tracker – MENA'!#REF!,50))</f>
        <v>#REF!</v>
      </c>
      <c r="H305" t="str">
        <f>IF(ISBLANK(INDEX('Milestone Tracker – MENA'!$G:$G,50)),"",INDEX('Milestone Tracker – MENA'!$G:$G,50))</f>
        <v/>
      </c>
      <c r="I305" t="str">
        <f>IF(ISBLANK(INDEX('Milestone Tracker – MENA'!$H:$H,50)),"",INDEX('Milestone Tracker – MENA'!$H:$H,50))</f>
        <v/>
      </c>
      <c r="J305" t="e">
        <f>IF(ISBLANK(INDEX('Milestone Tracker – MENA'!#REF!,50)),"",INDEX('Milestone Tracker – MENA'!#REF!,50))</f>
        <v>#REF!</v>
      </c>
      <c r="K305">
        <f t="shared" si="8"/>
        <v>0</v>
      </c>
      <c r="L305">
        <f t="shared" si="9"/>
        <v>0</v>
      </c>
    </row>
    <row r="306" spans="1:12" x14ac:dyDescent="0.35">
      <c r="A306">
        <v>51</v>
      </c>
      <c r="B306">
        <f>IF(ISBLANK(INDEX('Milestone Tracker – MENA'!$B:$B,51)),B305,INDEX('Milestone Tracker – MENA'!$B:$B,51))</f>
        <v>0</v>
      </c>
      <c r="C306">
        <f>IF(ISBLANK(INDEX('Milestone Tracker – MENA'!$C:$C,51)),C305,INDEX('Milestone Tracker – MENA'!$C:$C,51))</f>
        <v>0</v>
      </c>
      <c r="D306">
        <f>IF(ISBLANK(INDEX('Milestone Tracker – MENA'!$D:$D,51)),D305,INDEX('Milestone Tracker – MENA'!$D:$D,51))</f>
        <v>0</v>
      </c>
      <c r="E306" t="str">
        <f>IF(ISBLANK(INDEX('Milestone Tracker – MENA'!$E:$E,51)),"",INDEX('Milestone Tracker – MENA'!$E:$E,51))</f>
        <v/>
      </c>
      <c r="F306" t="str">
        <f>IF(ISBLANK(INDEX('Milestone Tracker – MENA'!$F:$F,51)),"",INDEX('Milestone Tracker – MENA'!$F:$F,51))</f>
        <v/>
      </c>
      <c r="G306" t="e">
        <f>IF(ISBLANK(INDEX('Milestone Tracker – MENA'!#REF!,51)),"",INDEX('Milestone Tracker – MENA'!#REF!,51))</f>
        <v>#REF!</v>
      </c>
      <c r="H306" t="str">
        <f>IF(ISBLANK(INDEX('Milestone Tracker – MENA'!$G:$G,51)),"",INDEX('Milestone Tracker – MENA'!$G:$G,51))</f>
        <v/>
      </c>
      <c r="I306" t="str">
        <f>IF(ISBLANK(INDEX('Milestone Tracker – MENA'!$H:$H,51)),"",INDEX('Milestone Tracker – MENA'!$H:$H,51))</f>
        <v/>
      </c>
      <c r="J306" t="e">
        <f>IF(ISBLANK(INDEX('Milestone Tracker – MENA'!#REF!,51)),"",INDEX('Milestone Tracker – MENA'!#REF!,51))</f>
        <v>#REF!</v>
      </c>
      <c r="K306">
        <f t="shared" si="8"/>
        <v>0</v>
      </c>
      <c r="L306">
        <f t="shared" si="9"/>
        <v>0</v>
      </c>
    </row>
    <row r="307" spans="1:12" x14ac:dyDescent="0.35">
      <c r="A307">
        <v>52</v>
      </c>
      <c r="B307">
        <f>IF(ISBLANK(INDEX('Milestone Tracker – MENA'!$B:$B,52)),B306,INDEX('Milestone Tracker – MENA'!$B:$B,52))</f>
        <v>0</v>
      </c>
      <c r="C307">
        <f>IF(ISBLANK(INDEX('Milestone Tracker – MENA'!$C:$C,52)),C306,INDEX('Milestone Tracker – MENA'!$C:$C,52))</f>
        <v>0</v>
      </c>
      <c r="D307">
        <f>IF(ISBLANK(INDEX('Milestone Tracker – MENA'!$D:$D,52)),D306,INDEX('Milestone Tracker – MENA'!$D:$D,52))</f>
        <v>0</v>
      </c>
      <c r="E307" t="str">
        <f>IF(ISBLANK(INDEX('Milestone Tracker – MENA'!$E:$E,52)),"",INDEX('Milestone Tracker – MENA'!$E:$E,52))</f>
        <v/>
      </c>
      <c r="F307" t="str">
        <f>IF(ISBLANK(INDEX('Milestone Tracker – MENA'!$F:$F,52)),"",INDEX('Milestone Tracker – MENA'!$F:$F,52))</f>
        <v/>
      </c>
      <c r="G307" t="e">
        <f>IF(ISBLANK(INDEX('Milestone Tracker – MENA'!#REF!,52)),"",INDEX('Milestone Tracker – MENA'!#REF!,52))</f>
        <v>#REF!</v>
      </c>
      <c r="H307" t="str">
        <f>IF(ISBLANK(INDEX('Milestone Tracker – MENA'!$G:$G,52)),"",INDEX('Milestone Tracker – MENA'!$G:$G,52))</f>
        <v/>
      </c>
      <c r="I307" t="str">
        <f>IF(ISBLANK(INDEX('Milestone Tracker – MENA'!$H:$H,52)),"",INDEX('Milestone Tracker – MENA'!$H:$H,52))</f>
        <v/>
      </c>
      <c r="J307" t="e">
        <f>IF(ISBLANK(INDEX('Milestone Tracker – MENA'!#REF!,52)),"",INDEX('Milestone Tracker – MENA'!#REF!,52))</f>
        <v>#REF!</v>
      </c>
      <c r="K307">
        <f t="shared" si="8"/>
        <v>0</v>
      </c>
      <c r="L307">
        <f t="shared" si="9"/>
        <v>0</v>
      </c>
    </row>
    <row r="308" spans="1:12" x14ac:dyDescent="0.35">
      <c r="A308">
        <v>53</v>
      </c>
      <c r="B308">
        <f>IF(ISBLANK(INDEX('Milestone Tracker – MENA'!$B:$B,53)),B307,INDEX('Milestone Tracker – MENA'!$B:$B,53))</f>
        <v>0</v>
      </c>
      <c r="C308">
        <f>IF(ISBLANK(INDEX('Milestone Tracker – MENA'!$C:$C,53)),C307,INDEX('Milestone Tracker – MENA'!$C:$C,53))</f>
        <v>0</v>
      </c>
      <c r="D308">
        <f>IF(ISBLANK(INDEX('Milestone Tracker – MENA'!$D:$D,53)),D307,INDEX('Milestone Tracker – MENA'!$D:$D,53))</f>
        <v>0</v>
      </c>
      <c r="E308" t="str">
        <f>IF(ISBLANK(INDEX('Milestone Tracker – MENA'!$E:$E,53)),"",INDEX('Milestone Tracker – MENA'!$E:$E,53))</f>
        <v/>
      </c>
      <c r="F308" t="str">
        <f>IF(ISBLANK(INDEX('Milestone Tracker – MENA'!$F:$F,53)),"",INDEX('Milestone Tracker – MENA'!$F:$F,53))</f>
        <v/>
      </c>
      <c r="G308" t="e">
        <f>IF(ISBLANK(INDEX('Milestone Tracker – MENA'!#REF!,53)),"",INDEX('Milestone Tracker – MENA'!#REF!,53))</f>
        <v>#REF!</v>
      </c>
      <c r="H308" t="str">
        <f>IF(ISBLANK(INDEX('Milestone Tracker – MENA'!$G:$G,53)),"",INDEX('Milestone Tracker – MENA'!$G:$G,53))</f>
        <v/>
      </c>
      <c r="I308" t="str">
        <f>IF(ISBLANK(INDEX('Milestone Tracker – MENA'!$H:$H,53)),"",INDEX('Milestone Tracker – MENA'!$H:$H,53))</f>
        <v/>
      </c>
      <c r="J308" t="e">
        <f>IF(ISBLANK(INDEX('Milestone Tracker – MENA'!#REF!,53)),"",INDEX('Milestone Tracker – MENA'!#REF!,53))</f>
        <v>#REF!</v>
      </c>
      <c r="K308">
        <f t="shared" si="8"/>
        <v>0</v>
      </c>
      <c r="L308">
        <f t="shared" si="9"/>
        <v>0</v>
      </c>
    </row>
    <row r="309" spans="1:12" x14ac:dyDescent="0.35">
      <c r="A309">
        <v>54</v>
      </c>
      <c r="B309">
        <f>IF(ISBLANK(INDEX('Milestone Tracker – MENA'!$B:$B,54)),B308,INDEX('Milestone Tracker – MENA'!$B:$B,54))</f>
        <v>0</v>
      </c>
      <c r="C309">
        <f>IF(ISBLANK(INDEX('Milestone Tracker – MENA'!$C:$C,54)),C308,INDEX('Milestone Tracker – MENA'!$C:$C,54))</f>
        <v>0</v>
      </c>
      <c r="D309">
        <f>IF(ISBLANK(INDEX('Milestone Tracker – MENA'!$D:$D,54)),D308,INDEX('Milestone Tracker – MENA'!$D:$D,54))</f>
        <v>0</v>
      </c>
      <c r="E309" t="str">
        <f>IF(ISBLANK(INDEX('Milestone Tracker – MENA'!$E:$E,54)),"",INDEX('Milestone Tracker – MENA'!$E:$E,54))</f>
        <v/>
      </c>
      <c r="F309" t="str">
        <f>IF(ISBLANK(INDEX('Milestone Tracker – MENA'!$F:$F,54)),"",INDEX('Milestone Tracker – MENA'!$F:$F,54))</f>
        <v/>
      </c>
      <c r="G309" t="e">
        <f>IF(ISBLANK(INDEX('Milestone Tracker – MENA'!#REF!,54)),"",INDEX('Milestone Tracker – MENA'!#REF!,54))</f>
        <v>#REF!</v>
      </c>
      <c r="H309" t="str">
        <f>IF(ISBLANK(INDEX('Milestone Tracker – MENA'!$G:$G,54)),"",INDEX('Milestone Tracker – MENA'!$G:$G,54))</f>
        <v/>
      </c>
      <c r="I309" t="str">
        <f>IF(ISBLANK(INDEX('Milestone Tracker – MENA'!$H:$H,54)),"",INDEX('Milestone Tracker – MENA'!$H:$H,54))</f>
        <v/>
      </c>
      <c r="J309" t="e">
        <f>IF(ISBLANK(INDEX('Milestone Tracker – MENA'!#REF!,54)),"",INDEX('Milestone Tracker – MENA'!#REF!,54))</f>
        <v>#REF!</v>
      </c>
      <c r="K309">
        <f t="shared" si="8"/>
        <v>0</v>
      </c>
      <c r="L309">
        <f t="shared" si="9"/>
        <v>0</v>
      </c>
    </row>
    <row r="310" spans="1:12" x14ac:dyDescent="0.35">
      <c r="A310">
        <v>55</v>
      </c>
      <c r="B310">
        <f>IF(ISBLANK(INDEX('Milestone Tracker – MENA'!$B:$B,55)),B309,INDEX('Milestone Tracker – MENA'!$B:$B,55))</f>
        <v>0</v>
      </c>
      <c r="C310">
        <f>IF(ISBLANK(INDEX('Milestone Tracker – MENA'!$C:$C,55)),C309,INDEX('Milestone Tracker – MENA'!$C:$C,55))</f>
        <v>0</v>
      </c>
      <c r="D310">
        <f>IF(ISBLANK(INDEX('Milestone Tracker – MENA'!$D:$D,55)),D309,INDEX('Milestone Tracker – MENA'!$D:$D,55))</f>
        <v>0</v>
      </c>
      <c r="E310" t="str">
        <f>IF(ISBLANK(INDEX('Milestone Tracker – MENA'!$E:$E,55)),"",INDEX('Milestone Tracker – MENA'!$E:$E,55))</f>
        <v/>
      </c>
      <c r="F310" t="str">
        <f>IF(ISBLANK(INDEX('Milestone Tracker – MENA'!$F:$F,55)),"",INDEX('Milestone Tracker – MENA'!$F:$F,55))</f>
        <v/>
      </c>
      <c r="G310" t="e">
        <f>IF(ISBLANK(INDEX('Milestone Tracker – MENA'!#REF!,55)),"",INDEX('Milestone Tracker – MENA'!#REF!,55))</f>
        <v>#REF!</v>
      </c>
      <c r="H310" t="str">
        <f>IF(ISBLANK(INDEX('Milestone Tracker – MENA'!$G:$G,55)),"",INDEX('Milestone Tracker – MENA'!$G:$G,55))</f>
        <v/>
      </c>
      <c r="I310" t="str">
        <f>IF(ISBLANK(INDEX('Milestone Tracker – MENA'!$H:$H,55)),"",INDEX('Milestone Tracker – MENA'!$H:$H,55))</f>
        <v/>
      </c>
      <c r="J310" t="e">
        <f>IF(ISBLANK(INDEX('Milestone Tracker – MENA'!#REF!,55)),"",INDEX('Milestone Tracker – MENA'!#REF!,55))</f>
        <v>#REF!</v>
      </c>
      <c r="K310">
        <f t="shared" si="8"/>
        <v>0</v>
      </c>
      <c r="L310">
        <f t="shared" si="9"/>
        <v>0</v>
      </c>
    </row>
    <row r="311" spans="1:12" x14ac:dyDescent="0.35">
      <c r="A311">
        <v>56</v>
      </c>
      <c r="B311">
        <f>IF(ISBLANK(INDEX('Milestone Tracker – MENA'!$B:$B,56)),B310,INDEX('Milestone Tracker – MENA'!$B:$B,56))</f>
        <v>0</v>
      </c>
      <c r="C311">
        <f>IF(ISBLANK(INDEX('Milestone Tracker – MENA'!$C:$C,56)),C310,INDEX('Milestone Tracker – MENA'!$C:$C,56))</f>
        <v>0</v>
      </c>
      <c r="D311">
        <f>IF(ISBLANK(INDEX('Milestone Tracker – MENA'!$D:$D,56)),D310,INDEX('Milestone Tracker – MENA'!$D:$D,56))</f>
        <v>0</v>
      </c>
      <c r="E311" t="str">
        <f>IF(ISBLANK(INDEX('Milestone Tracker – MENA'!$E:$E,56)),"",INDEX('Milestone Tracker – MENA'!$E:$E,56))</f>
        <v/>
      </c>
      <c r="F311" t="str">
        <f>IF(ISBLANK(INDEX('Milestone Tracker – MENA'!$F:$F,56)),"",INDEX('Milestone Tracker – MENA'!$F:$F,56))</f>
        <v/>
      </c>
      <c r="G311" t="e">
        <f>IF(ISBLANK(INDEX('Milestone Tracker – MENA'!#REF!,56)),"",INDEX('Milestone Tracker – MENA'!#REF!,56))</f>
        <v>#REF!</v>
      </c>
      <c r="H311" t="str">
        <f>IF(ISBLANK(INDEX('Milestone Tracker – MENA'!$G:$G,56)),"",INDEX('Milestone Tracker – MENA'!$G:$G,56))</f>
        <v/>
      </c>
      <c r="I311" t="str">
        <f>IF(ISBLANK(INDEX('Milestone Tracker – MENA'!$H:$H,56)),"",INDEX('Milestone Tracker – MENA'!$H:$H,56))</f>
        <v/>
      </c>
      <c r="J311" t="e">
        <f>IF(ISBLANK(INDEX('Milestone Tracker – MENA'!#REF!,56)),"",INDEX('Milestone Tracker – MENA'!#REF!,56))</f>
        <v>#REF!</v>
      </c>
      <c r="K311">
        <f t="shared" si="8"/>
        <v>0</v>
      </c>
      <c r="L311">
        <f t="shared" si="9"/>
        <v>0</v>
      </c>
    </row>
    <row r="312" spans="1:12" x14ac:dyDescent="0.35">
      <c r="A312">
        <v>57</v>
      </c>
      <c r="B312">
        <f>IF(ISBLANK(INDEX('Milestone Tracker – MENA'!$B:$B,57)),B311,INDEX('Milestone Tracker – MENA'!$B:$B,57))</f>
        <v>0</v>
      </c>
      <c r="C312">
        <f>IF(ISBLANK(INDEX('Milestone Tracker – MENA'!$C:$C,57)),C311,INDEX('Milestone Tracker – MENA'!$C:$C,57))</f>
        <v>0</v>
      </c>
      <c r="D312">
        <f>IF(ISBLANK(INDEX('Milestone Tracker – MENA'!$D:$D,57)),D311,INDEX('Milestone Tracker – MENA'!$D:$D,57))</f>
        <v>0</v>
      </c>
      <c r="E312" t="str">
        <f>IF(ISBLANK(INDEX('Milestone Tracker – MENA'!$E:$E,57)),"",INDEX('Milestone Tracker – MENA'!$E:$E,57))</f>
        <v/>
      </c>
      <c r="F312" t="str">
        <f>IF(ISBLANK(INDEX('Milestone Tracker – MENA'!$F:$F,57)),"",INDEX('Milestone Tracker – MENA'!$F:$F,57))</f>
        <v/>
      </c>
      <c r="G312" t="e">
        <f>IF(ISBLANK(INDEX('Milestone Tracker – MENA'!#REF!,57)),"",INDEX('Milestone Tracker – MENA'!#REF!,57))</f>
        <v>#REF!</v>
      </c>
      <c r="H312" t="str">
        <f>IF(ISBLANK(INDEX('Milestone Tracker – MENA'!$G:$G,57)),"",INDEX('Milestone Tracker – MENA'!$G:$G,57))</f>
        <v/>
      </c>
      <c r="I312" t="str">
        <f>IF(ISBLANK(INDEX('Milestone Tracker – MENA'!$H:$H,57)),"",INDEX('Milestone Tracker – MENA'!$H:$H,57))</f>
        <v/>
      </c>
      <c r="J312" t="e">
        <f>IF(ISBLANK(INDEX('Milestone Tracker – MENA'!#REF!,57)),"",INDEX('Milestone Tracker – MENA'!#REF!,57))</f>
        <v>#REF!</v>
      </c>
      <c r="K312">
        <f t="shared" si="8"/>
        <v>0</v>
      </c>
      <c r="L312">
        <f t="shared" si="9"/>
        <v>0</v>
      </c>
    </row>
    <row r="313" spans="1:12" x14ac:dyDescent="0.35">
      <c r="A313">
        <v>58</v>
      </c>
      <c r="B313">
        <f>IF(ISBLANK(INDEX('Milestone Tracker – MENA'!$B:$B,58)),B312,INDEX('Milestone Tracker – MENA'!$B:$B,58))</f>
        <v>0</v>
      </c>
      <c r="C313">
        <f>IF(ISBLANK(INDEX('Milestone Tracker – MENA'!$C:$C,58)),C312,INDEX('Milestone Tracker – MENA'!$C:$C,58))</f>
        <v>0</v>
      </c>
      <c r="D313">
        <f>IF(ISBLANK(INDEX('Milestone Tracker – MENA'!$D:$D,58)),D312,INDEX('Milestone Tracker – MENA'!$D:$D,58))</f>
        <v>0</v>
      </c>
      <c r="E313" t="str">
        <f>IF(ISBLANK(INDEX('Milestone Tracker – MENA'!$E:$E,58)),"",INDEX('Milestone Tracker – MENA'!$E:$E,58))</f>
        <v/>
      </c>
      <c r="F313" t="str">
        <f>IF(ISBLANK(INDEX('Milestone Tracker – MENA'!$F:$F,58)),"",INDEX('Milestone Tracker – MENA'!$F:$F,58))</f>
        <v/>
      </c>
      <c r="G313" t="e">
        <f>IF(ISBLANK(INDEX('Milestone Tracker – MENA'!#REF!,58)),"",INDEX('Milestone Tracker – MENA'!#REF!,58))</f>
        <v>#REF!</v>
      </c>
      <c r="H313" t="str">
        <f>IF(ISBLANK(INDEX('Milestone Tracker – MENA'!$G:$G,58)),"",INDEX('Milestone Tracker – MENA'!$G:$G,58))</f>
        <v/>
      </c>
      <c r="I313" t="str">
        <f>IF(ISBLANK(INDEX('Milestone Tracker – MENA'!$H:$H,58)),"",INDEX('Milestone Tracker – MENA'!$H:$H,58))</f>
        <v/>
      </c>
      <c r="J313" t="e">
        <f>IF(ISBLANK(INDEX('Milestone Tracker – MENA'!#REF!,58)),"",INDEX('Milestone Tracker – MENA'!#REF!,58))</f>
        <v>#REF!</v>
      </c>
      <c r="K313">
        <f t="shared" si="8"/>
        <v>0</v>
      </c>
      <c r="L313">
        <f t="shared" si="9"/>
        <v>0</v>
      </c>
    </row>
    <row r="314" spans="1:12" x14ac:dyDescent="0.35">
      <c r="A314">
        <v>59</v>
      </c>
      <c r="B314">
        <f>IF(ISBLANK(INDEX('Milestone Tracker – MENA'!$B:$B,59)),B313,INDEX('Milestone Tracker – MENA'!$B:$B,59))</f>
        <v>0</v>
      </c>
      <c r="C314">
        <f>IF(ISBLANK(INDEX('Milestone Tracker – MENA'!$C:$C,59)),C313,INDEX('Milestone Tracker – MENA'!$C:$C,59))</f>
        <v>0</v>
      </c>
      <c r="D314">
        <f>IF(ISBLANK(INDEX('Milestone Tracker – MENA'!$D:$D,59)),D313,INDEX('Milestone Tracker – MENA'!$D:$D,59))</f>
        <v>0</v>
      </c>
      <c r="E314" t="str">
        <f>IF(ISBLANK(INDEX('Milestone Tracker – MENA'!$E:$E,59)),"",INDEX('Milestone Tracker – MENA'!$E:$E,59))</f>
        <v/>
      </c>
      <c r="F314" t="str">
        <f>IF(ISBLANK(INDEX('Milestone Tracker – MENA'!$F:$F,59)),"",INDEX('Milestone Tracker – MENA'!$F:$F,59))</f>
        <v/>
      </c>
      <c r="G314" t="e">
        <f>IF(ISBLANK(INDEX('Milestone Tracker – MENA'!#REF!,59)),"",INDEX('Milestone Tracker – MENA'!#REF!,59))</f>
        <v>#REF!</v>
      </c>
      <c r="H314" t="str">
        <f>IF(ISBLANK(INDEX('Milestone Tracker – MENA'!$G:$G,59)),"",INDEX('Milestone Tracker – MENA'!$G:$G,59))</f>
        <v/>
      </c>
      <c r="I314" t="str">
        <f>IF(ISBLANK(INDEX('Milestone Tracker – MENA'!$H:$H,59)),"",INDEX('Milestone Tracker – MENA'!$H:$H,59))</f>
        <v/>
      </c>
      <c r="J314" t="e">
        <f>IF(ISBLANK(INDEX('Milestone Tracker – MENA'!#REF!,59)),"",INDEX('Milestone Tracker – MENA'!#REF!,59))</f>
        <v>#REF!</v>
      </c>
      <c r="K314">
        <f t="shared" si="8"/>
        <v>0</v>
      </c>
      <c r="L314">
        <f t="shared" si="9"/>
        <v>0</v>
      </c>
    </row>
    <row r="315" spans="1:12" x14ac:dyDescent="0.35">
      <c r="A315">
        <v>60</v>
      </c>
      <c r="B315">
        <f>IF(ISBLANK(INDEX('Milestone Tracker – MENA'!$B:$B,60)),B314,INDEX('Milestone Tracker – MENA'!$B:$B,60))</f>
        <v>0</v>
      </c>
      <c r="C315">
        <f>IF(ISBLANK(INDEX('Milestone Tracker – MENA'!$C:$C,60)),C314,INDEX('Milestone Tracker – MENA'!$C:$C,60))</f>
        <v>0</v>
      </c>
      <c r="D315">
        <f>IF(ISBLANK(INDEX('Milestone Tracker – MENA'!$D:$D,60)),D314,INDEX('Milestone Tracker – MENA'!$D:$D,60))</f>
        <v>0</v>
      </c>
      <c r="E315" t="str">
        <f>IF(ISBLANK(INDEX('Milestone Tracker – MENA'!$E:$E,60)),"",INDEX('Milestone Tracker – MENA'!$E:$E,60))</f>
        <v/>
      </c>
      <c r="F315" t="str">
        <f>IF(ISBLANK(INDEX('Milestone Tracker – MENA'!$F:$F,60)),"",INDEX('Milestone Tracker – MENA'!$F:$F,60))</f>
        <v/>
      </c>
      <c r="G315" t="e">
        <f>IF(ISBLANK(INDEX('Milestone Tracker – MENA'!#REF!,60)),"",INDEX('Milestone Tracker – MENA'!#REF!,60))</f>
        <v>#REF!</v>
      </c>
      <c r="H315" t="str">
        <f>IF(ISBLANK(INDEX('Milestone Tracker – MENA'!$G:$G,60)),"",INDEX('Milestone Tracker – MENA'!$G:$G,60))</f>
        <v/>
      </c>
      <c r="I315" t="str">
        <f>IF(ISBLANK(INDEX('Milestone Tracker – MENA'!$H:$H,60)),"",INDEX('Milestone Tracker – MENA'!$H:$H,60))</f>
        <v/>
      </c>
      <c r="J315" t="e">
        <f>IF(ISBLANK(INDEX('Milestone Tracker – MENA'!#REF!,60)),"",INDEX('Milestone Tracker – MENA'!#REF!,60))</f>
        <v>#REF!</v>
      </c>
      <c r="K315">
        <f t="shared" si="8"/>
        <v>0</v>
      </c>
      <c r="L315">
        <f t="shared" si="9"/>
        <v>0</v>
      </c>
    </row>
    <row r="316" spans="1:12" x14ac:dyDescent="0.35">
      <c r="A316">
        <v>61</v>
      </c>
      <c r="B316">
        <f>IF(ISBLANK(INDEX('Milestone Tracker – MENA'!$B:$B,61)),B315,INDEX('Milestone Tracker – MENA'!$B:$B,61))</f>
        <v>0</v>
      </c>
      <c r="C316">
        <f>IF(ISBLANK(INDEX('Milestone Tracker – MENA'!$C:$C,61)),C315,INDEX('Milestone Tracker – MENA'!$C:$C,61))</f>
        <v>0</v>
      </c>
      <c r="D316">
        <f>IF(ISBLANK(INDEX('Milestone Tracker – MENA'!$D:$D,61)),D315,INDEX('Milestone Tracker – MENA'!$D:$D,61))</f>
        <v>0</v>
      </c>
      <c r="E316" t="str">
        <f>IF(ISBLANK(INDEX('Milestone Tracker – MENA'!$E:$E,61)),"",INDEX('Milestone Tracker – MENA'!$E:$E,61))</f>
        <v/>
      </c>
      <c r="F316" t="str">
        <f>IF(ISBLANK(INDEX('Milestone Tracker – MENA'!$F:$F,61)),"",INDEX('Milestone Tracker – MENA'!$F:$F,61))</f>
        <v/>
      </c>
      <c r="G316" t="e">
        <f>IF(ISBLANK(INDEX('Milestone Tracker – MENA'!#REF!,61)),"",INDEX('Milestone Tracker – MENA'!#REF!,61))</f>
        <v>#REF!</v>
      </c>
      <c r="H316" t="str">
        <f>IF(ISBLANK(INDEX('Milestone Tracker – MENA'!$G:$G,61)),"",INDEX('Milestone Tracker – MENA'!$G:$G,61))</f>
        <v/>
      </c>
      <c r="I316" t="str">
        <f>IF(ISBLANK(INDEX('Milestone Tracker – MENA'!$H:$H,61)),"",INDEX('Milestone Tracker – MENA'!$H:$H,61))</f>
        <v/>
      </c>
      <c r="J316" t="e">
        <f>IF(ISBLANK(INDEX('Milestone Tracker – MENA'!#REF!,61)),"",INDEX('Milestone Tracker – MENA'!#REF!,61))</f>
        <v>#REF!</v>
      </c>
      <c r="K316">
        <f t="shared" si="8"/>
        <v>0</v>
      </c>
      <c r="L316">
        <f t="shared" si="9"/>
        <v>0</v>
      </c>
    </row>
    <row r="317" spans="1:12" x14ac:dyDescent="0.35">
      <c r="A317">
        <v>62</v>
      </c>
      <c r="B317">
        <f>IF(ISBLANK(INDEX('Milestone Tracker – MENA'!$B:$B,62)),B316,INDEX('Milestone Tracker – MENA'!$B:$B,62))</f>
        <v>0</v>
      </c>
      <c r="C317">
        <f>IF(ISBLANK(INDEX('Milestone Tracker – MENA'!$C:$C,62)),C316,INDEX('Milestone Tracker – MENA'!$C:$C,62))</f>
        <v>0</v>
      </c>
      <c r="D317">
        <f>IF(ISBLANK(INDEX('Milestone Tracker – MENA'!$D:$D,62)),D316,INDEX('Milestone Tracker – MENA'!$D:$D,62))</f>
        <v>0</v>
      </c>
      <c r="E317" t="str">
        <f>IF(ISBLANK(INDEX('Milestone Tracker – MENA'!$E:$E,62)),"",INDEX('Milestone Tracker – MENA'!$E:$E,62))</f>
        <v/>
      </c>
      <c r="F317" t="str">
        <f>IF(ISBLANK(INDEX('Milestone Tracker – MENA'!$F:$F,62)),"",INDEX('Milestone Tracker – MENA'!$F:$F,62))</f>
        <v/>
      </c>
      <c r="G317" t="e">
        <f>IF(ISBLANK(INDEX('Milestone Tracker – MENA'!#REF!,62)),"",INDEX('Milestone Tracker – MENA'!#REF!,62))</f>
        <v>#REF!</v>
      </c>
      <c r="H317" t="str">
        <f>IF(ISBLANK(INDEX('Milestone Tracker – MENA'!$G:$G,62)),"",INDEX('Milestone Tracker – MENA'!$G:$G,62))</f>
        <v/>
      </c>
      <c r="I317" t="str">
        <f>IF(ISBLANK(INDEX('Milestone Tracker – MENA'!$H:$H,62)),"",INDEX('Milestone Tracker – MENA'!$H:$H,62))</f>
        <v/>
      </c>
      <c r="J317" t="e">
        <f>IF(ISBLANK(INDEX('Milestone Tracker – MENA'!#REF!,62)),"",INDEX('Milestone Tracker – MENA'!#REF!,62))</f>
        <v>#REF!</v>
      </c>
      <c r="K317">
        <f t="shared" si="8"/>
        <v>0</v>
      </c>
      <c r="L317">
        <f t="shared" si="9"/>
        <v>0</v>
      </c>
    </row>
    <row r="318" spans="1:12" x14ac:dyDescent="0.35">
      <c r="A318">
        <v>63</v>
      </c>
      <c r="B318">
        <f>IF(ISBLANK(INDEX('Milestone Tracker – MENA'!$B:$B,63)),B317,INDEX('Milestone Tracker – MENA'!$B:$B,63))</f>
        <v>0</v>
      </c>
      <c r="C318">
        <f>IF(ISBLANK(INDEX('Milestone Tracker – MENA'!$C:$C,63)),C317,INDEX('Milestone Tracker – MENA'!$C:$C,63))</f>
        <v>0</v>
      </c>
      <c r="D318">
        <f>IF(ISBLANK(INDEX('Milestone Tracker – MENA'!$D:$D,63)),D317,INDEX('Milestone Tracker – MENA'!$D:$D,63))</f>
        <v>0</v>
      </c>
      <c r="E318" t="str">
        <f>IF(ISBLANK(INDEX('Milestone Tracker – MENA'!$E:$E,63)),"",INDEX('Milestone Tracker – MENA'!$E:$E,63))</f>
        <v/>
      </c>
      <c r="F318" t="str">
        <f>IF(ISBLANK(INDEX('Milestone Tracker – MENA'!$F:$F,63)),"",INDEX('Milestone Tracker – MENA'!$F:$F,63))</f>
        <v/>
      </c>
      <c r="G318" t="e">
        <f>IF(ISBLANK(INDEX('Milestone Tracker – MENA'!#REF!,63)),"",INDEX('Milestone Tracker – MENA'!#REF!,63))</f>
        <v>#REF!</v>
      </c>
      <c r="H318" t="str">
        <f>IF(ISBLANK(INDEX('Milestone Tracker – MENA'!$G:$G,63)),"",INDEX('Milestone Tracker – MENA'!$G:$G,63))</f>
        <v/>
      </c>
      <c r="I318" t="str">
        <f>IF(ISBLANK(INDEX('Milestone Tracker – MENA'!$H:$H,63)),"",INDEX('Milestone Tracker – MENA'!$H:$H,63))</f>
        <v/>
      </c>
      <c r="J318" t="e">
        <f>IF(ISBLANK(INDEX('Milestone Tracker – MENA'!#REF!,63)),"",INDEX('Milestone Tracker – MENA'!#REF!,63))</f>
        <v>#REF!</v>
      </c>
      <c r="K318">
        <f t="shared" si="8"/>
        <v>0</v>
      </c>
      <c r="L318">
        <f t="shared" si="9"/>
        <v>0</v>
      </c>
    </row>
    <row r="319" spans="1:12" x14ac:dyDescent="0.35">
      <c r="A319">
        <v>64</v>
      </c>
      <c r="B319">
        <f>IF(ISBLANK(INDEX('Milestone Tracker – MENA'!$B:$B,64)),B318,INDEX('Milestone Tracker – MENA'!$B:$B,64))</f>
        <v>0</v>
      </c>
      <c r="C319">
        <f>IF(ISBLANK(INDEX('Milestone Tracker – MENA'!$C:$C,64)),C318,INDEX('Milestone Tracker – MENA'!$C:$C,64))</f>
        <v>0</v>
      </c>
      <c r="D319">
        <f>IF(ISBLANK(INDEX('Milestone Tracker – MENA'!$D:$D,64)),D318,INDEX('Milestone Tracker – MENA'!$D:$D,64))</f>
        <v>0</v>
      </c>
      <c r="E319" t="str">
        <f>IF(ISBLANK(INDEX('Milestone Tracker – MENA'!$E:$E,64)),"",INDEX('Milestone Tracker – MENA'!$E:$E,64))</f>
        <v/>
      </c>
      <c r="F319" t="str">
        <f>IF(ISBLANK(INDEX('Milestone Tracker – MENA'!$F:$F,64)),"",INDEX('Milestone Tracker – MENA'!$F:$F,64))</f>
        <v/>
      </c>
      <c r="G319" t="e">
        <f>IF(ISBLANK(INDEX('Milestone Tracker – MENA'!#REF!,64)),"",INDEX('Milestone Tracker – MENA'!#REF!,64))</f>
        <v>#REF!</v>
      </c>
      <c r="H319" t="str">
        <f>IF(ISBLANK(INDEX('Milestone Tracker – MENA'!$G:$G,64)),"",INDEX('Milestone Tracker – MENA'!$G:$G,64))</f>
        <v/>
      </c>
      <c r="I319" t="str">
        <f>IF(ISBLANK(INDEX('Milestone Tracker – MENA'!$H:$H,64)),"",INDEX('Milestone Tracker – MENA'!$H:$H,64))</f>
        <v/>
      </c>
      <c r="J319" t="e">
        <f>IF(ISBLANK(INDEX('Milestone Tracker – MENA'!#REF!,64)),"",INDEX('Milestone Tracker – MENA'!#REF!,64))</f>
        <v>#REF!</v>
      </c>
      <c r="K319">
        <f t="shared" si="8"/>
        <v>0</v>
      </c>
      <c r="L319">
        <f t="shared" si="9"/>
        <v>0</v>
      </c>
    </row>
    <row r="320" spans="1:12" x14ac:dyDescent="0.35">
      <c r="A320">
        <v>65</v>
      </c>
      <c r="B320">
        <f>IF(ISBLANK(INDEX('Milestone Tracker – MENA'!$B:$B,65)),B319,INDEX('Milestone Tracker – MENA'!$B:$B,65))</f>
        <v>0</v>
      </c>
      <c r="C320">
        <f>IF(ISBLANK(INDEX('Milestone Tracker – MENA'!$C:$C,65)),C319,INDEX('Milestone Tracker – MENA'!$C:$C,65))</f>
        <v>0</v>
      </c>
      <c r="D320">
        <f>IF(ISBLANK(INDEX('Milestone Tracker – MENA'!$D:$D,65)),D319,INDEX('Milestone Tracker – MENA'!$D:$D,65))</f>
        <v>0</v>
      </c>
      <c r="E320" t="str">
        <f>IF(ISBLANK(INDEX('Milestone Tracker – MENA'!$E:$E,65)),"",INDEX('Milestone Tracker – MENA'!$E:$E,65))</f>
        <v/>
      </c>
      <c r="F320" t="str">
        <f>IF(ISBLANK(INDEX('Milestone Tracker – MENA'!$F:$F,65)),"",INDEX('Milestone Tracker – MENA'!$F:$F,65))</f>
        <v/>
      </c>
      <c r="G320" t="e">
        <f>IF(ISBLANK(INDEX('Milestone Tracker – MENA'!#REF!,65)),"",INDEX('Milestone Tracker – MENA'!#REF!,65))</f>
        <v>#REF!</v>
      </c>
      <c r="H320" t="str">
        <f>IF(ISBLANK(INDEX('Milestone Tracker – MENA'!$G:$G,65)),"",INDEX('Milestone Tracker – MENA'!$G:$G,65))</f>
        <v/>
      </c>
      <c r="I320" t="str">
        <f>IF(ISBLANK(INDEX('Milestone Tracker – MENA'!$H:$H,65)),"",INDEX('Milestone Tracker – MENA'!$H:$H,65))</f>
        <v/>
      </c>
      <c r="J320" t="e">
        <f>IF(ISBLANK(INDEX('Milestone Tracker – MENA'!#REF!,65)),"",INDEX('Milestone Tracker – MENA'!#REF!,65))</f>
        <v>#REF!</v>
      </c>
      <c r="K320">
        <f t="shared" si="8"/>
        <v>0</v>
      </c>
      <c r="L320">
        <f t="shared" si="9"/>
        <v>0</v>
      </c>
    </row>
    <row r="321" spans="1:12" x14ac:dyDescent="0.35">
      <c r="A321">
        <v>66</v>
      </c>
      <c r="B321">
        <f>IF(ISBLANK(INDEX('Milestone Tracker – MENA'!$B:$B,66)),B320,INDEX('Milestone Tracker – MENA'!$B:$B,66))</f>
        <v>0</v>
      </c>
      <c r="C321">
        <f>IF(ISBLANK(INDEX('Milestone Tracker – MENA'!$C:$C,66)),C320,INDEX('Milestone Tracker – MENA'!$C:$C,66))</f>
        <v>0</v>
      </c>
      <c r="D321">
        <f>IF(ISBLANK(INDEX('Milestone Tracker – MENA'!$D:$D,66)),D320,INDEX('Milestone Tracker – MENA'!$D:$D,66))</f>
        <v>0</v>
      </c>
      <c r="E321" t="str">
        <f>IF(ISBLANK(INDEX('Milestone Tracker – MENA'!$E:$E,66)),"",INDEX('Milestone Tracker – MENA'!$E:$E,66))</f>
        <v/>
      </c>
      <c r="F321" t="str">
        <f>IF(ISBLANK(INDEX('Milestone Tracker – MENA'!$F:$F,66)),"",INDEX('Milestone Tracker – MENA'!$F:$F,66))</f>
        <v/>
      </c>
      <c r="G321" t="e">
        <f>IF(ISBLANK(INDEX('Milestone Tracker – MENA'!#REF!,66)),"",INDEX('Milestone Tracker – MENA'!#REF!,66))</f>
        <v>#REF!</v>
      </c>
      <c r="H321" t="str">
        <f>IF(ISBLANK(INDEX('Milestone Tracker – MENA'!$G:$G,66)),"",INDEX('Milestone Tracker – MENA'!$G:$G,66))</f>
        <v/>
      </c>
      <c r="I321" t="str">
        <f>IF(ISBLANK(INDEX('Milestone Tracker – MENA'!$H:$H,66)),"",INDEX('Milestone Tracker – MENA'!$H:$H,66))</f>
        <v/>
      </c>
      <c r="J321" t="e">
        <f>IF(ISBLANK(INDEX('Milestone Tracker – MENA'!#REF!,66)),"",INDEX('Milestone Tracker – MENA'!#REF!,66))</f>
        <v>#REF!</v>
      </c>
      <c r="K321">
        <f t="shared" si="8"/>
        <v>0</v>
      </c>
      <c r="L321">
        <f t="shared" si="9"/>
        <v>0</v>
      </c>
    </row>
    <row r="322" spans="1:12" x14ac:dyDescent="0.35">
      <c r="A322">
        <v>67</v>
      </c>
      <c r="B322">
        <f>IF(ISBLANK(INDEX('Milestone Tracker – MENA'!$B:$B,67)),B321,INDEX('Milestone Tracker – MENA'!$B:$B,67))</f>
        <v>0</v>
      </c>
      <c r="C322">
        <f>IF(ISBLANK(INDEX('Milestone Tracker – MENA'!$C:$C,67)),C321,INDEX('Milestone Tracker – MENA'!$C:$C,67))</f>
        <v>0</v>
      </c>
      <c r="D322">
        <f>IF(ISBLANK(INDEX('Milestone Tracker – MENA'!$D:$D,67)),D321,INDEX('Milestone Tracker – MENA'!$D:$D,67))</f>
        <v>0</v>
      </c>
      <c r="E322" t="str">
        <f>IF(ISBLANK(INDEX('Milestone Tracker – MENA'!$E:$E,67)),"",INDEX('Milestone Tracker – MENA'!$E:$E,67))</f>
        <v/>
      </c>
      <c r="F322" t="str">
        <f>IF(ISBLANK(INDEX('Milestone Tracker – MENA'!$F:$F,67)),"",INDEX('Milestone Tracker – MENA'!$F:$F,67))</f>
        <v/>
      </c>
      <c r="G322" t="e">
        <f>IF(ISBLANK(INDEX('Milestone Tracker – MENA'!#REF!,67)),"",INDEX('Milestone Tracker – MENA'!#REF!,67))</f>
        <v>#REF!</v>
      </c>
      <c r="H322" t="str">
        <f>IF(ISBLANK(INDEX('Milestone Tracker – MENA'!$G:$G,67)),"",INDEX('Milestone Tracker – MENA'!$G:$G,67))</f>
        <v/>
      </c>
      <c r="I322" t="str">
        <f>IF(ISBLANK(INDEX('Milestone Tracker – MENA'!$H:$H,67)),"",INDEX('Milestone Tracker – MENA'!$H:$H,67))</f>
        <v/>
      </c>
      <c r="J322" t="e">
        <f>IF(ISBLANK(INDEX('Milestone Tracker – MENA'!#REF!,67)),"",INDEX('Milestone Tracker – MENA'!#REF!,67))</f>
        <v>#REF!</v>
      </c>
      <c r="K322">
        <f t="shared" ref="K322:K385" si="10">IF(LEFT($E322,9)="Milestone",1,0)</f>
        <v>0</v>
      </c>
      <c r="L322">
        <f t="shared" ref="L322:L385" si="11">L321+K322</f>
        <v>0</v>
      </c>
    </row>
    <row r="323" spans="1:12" x14ac:dyDescent="0.35">
      <c r="A323">
        <v>68</v>
      </c>
      <c r="B323">
        <f>IF(ISBLANK(INDEX('Milestone Tracker – MENA'!$B:$B,68)),B322,INDEX('Milestone Tracker – MENA'!$B:$B,68))</f>
        <v>0</v>
      </c>
      <c r="C323">
        <f>IF(ISBLANK(INDEX('Milestone Tracker – MENA'!$C:$C,68)),C322,INDEX('Milestone Tracker – MENA'!$C:$C,68))</f>
        <v>0</v>
      </c>
      <c r="D323">
        <f>IF(ISBLANK(INDEX('Milestone Tracker – MENA'!$D:$D,68)),D322,INDEX('Milestone Tracker – MENA'!$D:$D,68))</f>
        <v>0</v>
      </c>
      <c r="E323" t="str">
        <f>IF(ISBLANK(INDEX('Milestone Tracker – MENA'!$E:$E,68)),"",INDEX('Milestone Tracker – MENA'!$E:$E,68))</f>
        <v/>
      </c>
      <c r="F323" t="str">
        <f>IF(ISBLANK(INDEX('Milestone Tracker – MENA'!$F:$F,68)),"",INDEX('Milestone Tracker – MENA'!$F:$F,68))</f>
        <v/>
      </c>
      <c r="G323" t="e">
        <f>IF(ISBLANK(INDEX('Milestone Tracker – MENA'!#REF!,68)),"",INDEX('Milestone Tracker – MENA'!#REF!,68))</f>
        <v>#REF!</v>
      </c>
      <c r="H323" t="str">
        <f>IF(ISBLANK(INDEX('Milestone Tracker – MENA'!$G:$G,68)),"",INDEX('Milestone Tracker – MENA'!$G:$G,68))</f>
        <v/>
      </c>
      <c r="I323" t="str">
        <f>IF(ISBLANK(INDEX('Milestone Tracker – MENA'!$H:$H,68)),"",INDEX('Milestone Tracker – MENA'!$H:$H,68))</f>
        <v/>
      </c>
      <c r="J323" t="e">
        <f>IF(ISBLANK(INDEX('Milestone Tracker – MENA'!#REF!,68)),"",INDEX('Milestone Tracker – MENA'!#REF!,68))</f>
        <v>#REF!</v>
      </c>
      <c r="K323">
        <f t="shared" si="10"/>
        <v>0</v>
      </c>
      <c r="L323">
        <f t="shared" si="11"/>
        <v>0</v>
      </c>
    </row>
    <row r="324" spans="1:12" x14ac:dyDescent="0.35">
      <c r="A324">
        <v>69</v>
      </c>
      <c r="B324">
        <f>IF(ISBLANK(INDEX('Milestone Tracker – MENA'!$B:$B,69)),B323,INDEX('Milestone Tracker – MENA'!$B:$B,69))</f>
        <v>0</v>
      </c>
      <c r="C324">
        <f>IF(ISBLANK(INDEX('Milestone Tracker – MENA'!$C:$C,69)),C323,INDEX('Milestone Tracker – MENA'!$C:$C,69))</f>
        <v>0</v>
      </c>
      <c r="D324">
        <f>IF(ISBLANK(INDEX('Milestone Tracker – MENA'!$D:$D,69)),D323,INDEX('Milestone Tracker – MENA'!$D:$D,69))</f>
        <v>0</v>
      </c>
      <c r="E324" t="str">
        <f>IF(ISBLANK(INDEX('Milestone Tracker – MENA'!$E:$E,69)),"",INDEX('Milestone Tracker – MENA'!$E:$E,69))</f>
        <v/>
      </c>
      <c r="F324" t="str">
        <f>IF(ISBLANK(INDEX('Milestone Tracker – MENA'!$F:$F,69)),"",INDEX('Milestone Tracker – MENA'!$F:$F,69))</f>
        <v/>
      </c>
      <c r="G324" t="e">
        <f>IF(ISBLANK(INDEX('Milestone Tracker – MENA'!#REF!,69)),"",INDEX('Milestone Tracker – MENA'!#REF!,69))</f>
        <v>#REF!</v>
      </c>
      <c r="H324" t="str">
        <f>IF(ISBLANK(INDEX('Milestone Tracker – MENA'!$G:$G,69)),"",INDEX('Milestone Tracker – MENA'!$G:$G,69))</f>
        <v/>
      </c>
      <c r="I324" t="str">
        <f>IF(ISBLANK(INDEX('Milestone Tracker – MENA'!$H:$H,69)),"",INDEX('Milestone Tracker – MENA'!$H:$H,69))</f>
        <v/>
      </c>
      <c r="J324" t="e">
        <f>IF(ISBLANK(INDEX('Milestone Tracker – MENA'!#REF!,69)),"",INDEX('Milestone Tracker – MENA'!#REF!,69))</f>
        <v>#REF!</v>
      </c>
      <c r="K324">
        <f t="shared" si="10"/>
        <v>0</v>
      </c>
      <c r="L324">
        <f t="shared" si="11"/>
        <v>0</v>
      </c>
    </row>
    <row r="325" spans="1:12" x14ac:dyDescent="0.35">
      <c r="A325">
        <v>70</v>
      </c>
      <c r="B325">
        <f>IF(ISBLANK(INDEX('Milestone Tracker – MENA'!$B:$B,70)),B324,INDEX('Milestone Tracker – MENA'!$B:$B,70))</f>
        <v>0</v>
      </c>
      <c r="C325">
        <f>IF(ISBLANK(INDEX('Milestone Tracker – MENA'!$C:$C,70)),C324,INDEX('Milestone Tracker – MENA'!$C:$C,70))</f>
        <v>0</v>
      </c>
      <c r="D325">
        <f>IF(ISBLANK(INDEX('Milestone Tracker – MENA'!$D:$D,70)),D324,INDEX('Milestone Tracker – MENA'!$D:$D,70))</f>
        <v>0</v>
      </c>
      <c r="E325" t="str">
        <f>IF(ISBLANK(INDEX('Milestone Tracker – MENA'!$E:$E,70)),"",INDEX('Milestone Tracker – MENA'!$E:$E,70))</f>
        <v/>
      </c>
      <c r="F325" t="str">
        <f>IF(ISBLANK(INDEX('Milestone Tracker – MENA'!$F:$F,70)),"",INDEX('Milestone Tracker – MENA'!$F:$F,70))</f>
        <v/>
      </c>
      <c r="G325" t="e">
        <f>IF(ISBLANK(INDEX('Milestone Tracker – MENA'!#REF!,70)),"",INDEX('Milestone Tracker – MENA'!#REF!,70))</f>
        <v>#REF!</v>
      </c>
      <c r="H325" t="str">
        <f>IF(ISBLANK(INDEX('Milestone Tracker – MENA'!$G:$G,70)),"",INDEX('Milestone Tracker – MENA'!$G:$G,70))</f>
        <v/>
      </c>
      <c r="I325" t="str">
        <f>IF(ISBLANK(INDEX('Milestone Tracker – MENA'!$H:$H,70)),"",INDEX('Milestone Tracker – MENA'!$H:$H,70))</f>
        <v/>
      </c>
      <c r="J325" t="e">
        <f>IF(ISBLANK(INDEX('Milestone Tracker – MENA'!#REF!,70)),"",INDEX('Milestone Tracker – MENA'!#REF!,70))</f>
        <v>#REF!</v>
      </c>
      <c r="K325">
        <f t="shared" si="10"/>
        <v>0</v>
      </c>
      <c r="L325">
        <f t="shared" si="11"/>
        <v>0</v>
      </c>
    </row>
    <row r="326" spans="1:12" x14ac:dyDescent="0.35">
      <c r="A326">
        <v>71</v>
      </c>
      <c r="B326">
        <f>IF(ISBLANK(INDEX('Milestone Tracker – MENA'!$B:$B,71)),B325,INDEX('Milestone Tracker – MENA'!$B:$B,71))</f>
        <v>0</v>
      </c>
      <c r="C326">
        <f>IF(ISBLANK(INDEX('Milestone Tracker – MENA'!$C:$C,71)),C325,INDEX('Milestone Tracker – MENA'!$C:$C,71))</f>
        <v>0</v>
      </c>
      <c r="D326">
        <f>IF(ISBLANK(INDEX('Milestone Tracker – MENA'!$D:$D,71)),D325,INDEX('Milestone Tracker – MENA'!$D:$D,71))</f>
        <v>0</v>
      </c>
      <c r="E326" t="str">
        <f>IF(ISBLANK(INDEX('Milestone Tracker – MENA'!$E:$E,71)),"",INDEX('Milestone Tracker – MENA'!$E:$E,71))</f>
        <v/>
      </c>
      <c r="F326" t="str">
        <f>IF(ISBLANK(INDEX('Milestone Tracker – MENA'!$F:$F,71)),"",INDEX('Milestone Tracker – MENA'!$F:$F,71))</f>
        <v/>
      </c>
      <c r="G326" t="e">
        <f>IF(ISBLANK(INDEX('Milestone Tracker – MENA'!#REF!,71)),"",INDEX('Milestone Tracker – MENA'!#REF!,71))</f>
        <v>#REF!</v>
      </c>
      <c r="H326" t="str">
        <f>IF(ISBLANK(INDEX('Milestone Tracker – MENA'!$G:$G,71)),"",INDEX('Milestone Tracker – MENA'!$G:$G,71))</f>
        <v/>
      </c>
      <c r="I326" t="str">
        <f>IF(ISBLANK(INDEX('Milestone Tracker – MENA'!$H:$H,71)),"",INDEX('Milestone Tracker – MENA'!$H:$H,71))</f>
        <v/>
      </c>
      <c r="J326" t="e">
        <f>IF(ISBLANK(INDEX('Milestone Tracker – MENA'!#REF!,71)),"",INDEX('Milestone Tracker – MENA'!#REF!,71))</f>
        <v>#REF!</v>
      </c>
      <c r="K326">
        <f t="shared" si="10"/>
        <v>0</v>
      </c>
      <c r="L326">
        <f t="shared" si="11"/>
        <v>0</v>
      </c>
    </row>
    <row r="327" spans="1:12" x14ac:dyDescent="0.35">
      <c r="A327">
        <v>72</v>
      </c>
      <c r="B327">
        <f>IF(ISBLANK(INDEX('Milestone Tracker – MENA'!$B:$B,72)),B326,INDEX('Milestone Tracker – MENA'!$B:$B,72))</f>
        <v>0</v>
      </c>
      <c r="C327">
        <f>IF(ISBLANK(INDEX('Milestone Tracker – MENA'!$C:$C,72)),C326,INDEX('Milestone Tracker – MENA'!$C:$C,72))</f>
        <v>0</v>
      </c>
      <c r="D327">
        <f>IF(ISBLANK(INDEX('Milestone Tracker – MENA'!$D:$D,72)),D326,INDEX('Milestone Tracker – MENA'!$D:$D,72))</f>
        <v>0</v>
      </c>
      <c r="E327" t="str">
        <f>IF(ISBLANK(INDEX('Milestone Tracker – MENA'!$E:$E,72)),"",INDEX('Milestone Tracker – MENA'!$E:$E,72))</f>
        <v/>
      </c>
      <c r="F327" t="str">
        <f>IF(ISBLANK(INDEX('Milestone Tracker – MENA'!$F:$F,72)),"",INDEX('Milestone Tracker – MENA'!$F:$F,72))</f>
        <v/>
      </c>
      <c r="G327" t="e">
        <f>IF(ISBLANK(INDEX('Milestone Tracker – MENA'!#REF!,72)),"",INDEX('Milestone Tracker – MENA'!#REF!,72))</f>
        <v>#REF!</v>
      </c>
      <c r="H327" t="str">
        <f>IF(ISBLANK(INDEX('Milestone Tracker – MENA'!$G:$G,72)),"",INDEX('Milestone Tracker – MENA'!$G:$G,72))</f>
        <v/>
      </c>
      <c r="I327" t="str">
        <f>IF(ISBLANK(INDEX('Milestone Tracker – MENA'!$H:$H,72)),"",INDEX('Milestone Tracker – MENA'!$H:$H,72))</f>
        <v/>
      </c>
      <c r="J327" t="e">
        <f>IF(ISBLANK(INDEX('Milestone Tracker – MENA'!#REF!,72)),"",INDEX('Milestone Tracker – MENA'!#REF!,72))</f>
        <v>#REF!</v>
      </c>
      <c r="K327">
        <f t="shared" si="10"/>
        <v>0</v>
      </c>
      <c r="L327">
        <f t="shared" si="11"/>
        <v>0</v>
      </c>
    </row>
    <row r="328" spans="1:12" x14ac:dyDescent="0.35">
      <c r="A328">
        <v>73</v>
      </c>
      <c r="B328">
        <f>IF(ISBLANK(INDEX('Milestone Tracker – MENA'!$B:$B,73)),B327,INDEX('Milestone Tracker – MENA'!$B:$B,73))</f>
        <v>0</v>
      </c>
      <c r="C328">
        <f>IF(ISBLANK(INDEX('Milestone Tracker – MENA'!$C:$C,73)),C327,INDEX('Milestone Tracker – MENA'!$C:$C,73))</f>
        <v>0</v>
      </c>
      <c r="D328">
        <f>IF(ISBLANK(INDEX('Milestone Tracker – MENA'!$D:$D,73)),D327,INDEX('Milestone Tracker – MENA'!$D:$D,73))</f>
        <v>0</v>
      </c>
      <c r="E328" t="str">
        <f>IF(ISBLANK(INDEX('Milestone Tracker – MENA'!$E:$E,73)),"",INDEX('Milestone Tracker – MENA'!$E:$E,73))</f>
        <v/>
      </c>
      <c r="F328" t="str">
        <f>IF(ISBLANK(INDEX('Milestone Tracker – MENA'!$F:$F,73)),"",INDEX('Milestone Tracker – MENA'!$F:$F,73))</f>
        <v/>
      </c>
      <c r="G328" t="e">
        <f>IF(ISBLANK(INDEX('Milestone Tracker – MENA'!#REF!,73)),"",INDEX('Milestone Tracker – MENA'!#REF!,73))</f>
        <v>#REF!</v>
      </c>
      <c r="H328" t="str">
        <f>IF(ISBLANK(INDEX('Milestone Tracker – MENA'!$G:$G,73)),"",INDEX('Milestone Tracker – MENA'!$G:$G,73))</f>
        <v/>
      </c>
      <c r="I328" t="str">
        <f>IF(ISBLANK(INDEX('Milestone Tracker – MENA'!$H:$H,73)),"",INDEX('Milestone Tracker – MENA'!$H:$H,73))</f>
        <v/>
      </c>
      <c r="J328" t="e">
        <f>IF(ISBLANK(INDEX('Milestone Tracker – MENA'!#REF!,73)),"",INDEX('Milestone Tracker – MENA'!#REF!,73))</f>
        <v>#REF!</v>
      </c>
      <c r="K328">
        <f t="shared" si="10"/>
        <v>0</v>
      </c>
      <c r="L328">
        <f t="shared" si="11"/>
        <v>0</v>
      </c>
    </row>
    <row r="329" spans="1:12" x14ac:dyDescent="0.35">
      <c r="A329">
        <v>74</v>
      </c>
      <c r="B329">
        <f>IF(ISBLANK(INDEX('Milestone Tracker – MENA'!$B:$B,74)),B328,INDEX('Milestone Tracker – MENA'!$B:$B,74))</f>
        <v>0</v>
      </c>
      <c r="C329">
        <f>IF(ISBLANK(INDEX('Milestone Tracker – MENA'!$C:$C,74)),C328,INDEX('Milestone Tracker – MENA'!$C:$C,74))</f>
        <v>0</v>
      </c>
      <c r="D329">
        <f>IF(ISBLANK(INDEX('Milestone Tracker – MENA'!$D:$D,74)),D328,INDEX('Milestone Tracker – MENA'!$D:$D,74))</f>
        <v>0</v>
      </c>
      <c r="E329" t="str">
        <f>IF(ISBLANK(INDEX('Milestone Tracker – MENA'!$E:$E,74)),"",INDEX('Milestone Tracker – MENA'!$E:$E,74))</f>
        <v/>
      </c>
      <c r="F329" t="str">
        <f>IF(ISBLANK(INDEX('Milestone Tracker – MENA'!$F:$F,74)),"",INDEX('Milestone Tracker – MENA'!$F:$F,74))</f>
        <v/>
      </c>
      <c r="G329" t="e">
        <f>IF(ISBLANK(INDEX('Milestone Tracker – MENA'!#REF!,74)),"",INDEX('Milestone Tracker – MENA'!#REF!,74))</f>
        <v>#REF!</v>
      </c>
      <c r="H329" t="str">
        <f>IF(ISBLANK(INDEX('Milestone Tracker – MENA'!$G:$G,74)),"",INDEX('Milestone Tracker – MENA'!$G:$G,74))</f>
        <v/>
      </c>
      <c r="I329" t="str">
        <f>IF(ISBLANK(INDEX('Milestone Tracker – MENA'!$H:$H,74)),"",INDEX('Milestone Tracker – MENA'!$H:$H,74))</f>
        <v/>
      </c>
      <c r="J329" t="e">
        <f>IF(ISBLANK(INDEX('Milestone Tracker – MENA'!#REF!,74)),"",INDEX('Milestone Tracker – MENA'!#REF!,74))</f>
        <v>#REF!</v>
      </c>
      <c r="K329">
        <f t="shared" si="10"/>
        <v>0</v>
      </c>
      <c r="L329">
        <f t="shared" si="11"/>
        <v>0</v>
      </c>
    </row>
    <row r="330" spans="1:12" x14ac:dyDescent="0.35">
      <c r="A330">
        <v>75</v>
      </c>
      <c r="B330">
        <f>IF(ISBLANK(INDEX('Milestone Tracker – MENA'!$B:$B,75)),B329,INDEX('Milestone Tracker – MENA'!$B:$B,75))</f>
        <v>0</v>
      </c>
      <c r="C330">
        <f>IF(ISBLANK(INDEX('Milestone Tracker – MENA'!$C:$C,75)),C329,INDEX('Milestone Tracker – MENA'!$C:$C,75))</f>
        <v>0</v>
      </c>
      <c r="D330">
        <f>IF(ISBLANK(INDEX('Milestone Tracker – MENA'!$D:$D,75)),D329,INDEX('Milestone Tracker – MENA'!$D:$D,75))</f>
        <v>0</v>
      </c>
      <c r="E330" t="str">
        <f>IF(ISBLANK(INDEX('Milestone Tracker – MENA'!$E:$E,75)),"",INDEX('Milestone Tracker – MENA'!$E:$E,75))</f>
        <v/>
      </c>
      <c r="F330" t="str">
        <f>IF(ISBLANK(INDEX('Milestone Tracker – MENA'!$F:$F,75)),"",INDEX('Milestone Tracker – MENA'!$F:$F,75))</f>
        <v/>
      </c>
      <c r="G330" t="e">
        <f>IF(ISBLANK(INDEX('Milestone Tracker – MENA'!#REF!,75)),"",INDEX('Milestone Tracker – MENA'!#REF!,75))</f>
        <v>#REF!</v>
      </c>
      <c r="H330" t="str">
        <f>IF(ISBLANK(INDEX('Milestone Tracker – MENA'!$G:$G,75)),"",INDEX('Milestone Tracker – MENA'!$G:$G,75))</f>
        <v/>
      </c>
      <c r="I330" t="str">
        <f>IF(ISBLANK(INDEX('Milestone Tracker – MENA'!$H:$H,75)),"",INDEX('Milestone Tracker – MENA'!$H:$H,75))</f>
        <v/>
      </c>
      <c r="J330" t="e">
        <f>IF(ISBLANK(INDEX('Milestone Tracker – MENA'!#REF!,75)),"",INDEX('Milestone Tracker – MENA'!#REF!,75))</f>
        <v>#REF!</v>
      </c>
      <c r="K330">
        <f t="shared" si="10"/>
        <v>0</v>
      </c>
      <c r="L330">
        <f t="shared" si="11"/>
        <v>0</v>
      </c>
    </row>
    <row r="331" spans="1:12" x14ac:dyDescent="0.35">
      <c r="A331">
        <v>76</v>
      </c>
      <c r="B331">
        <f>IF(ISBLANK(INDEX('Milestone Tracker – MENA'!$B:$B,76)),B330,INDEX('Milestone Tracker – MENA'!$B:$B,76))</f>
        <v>0</v>
      </c>
      <c r="C331">
        <f>IF(ISBLANK(INDEX('Milestone Tracker – MENA'!$C:$C,76)),C330,INDEX('Milestone Tracker – MENA'!$C:$C,76))</f>
        <v>0</v>
      </c>
      <c r="D331">
        <f>IF(ISBLANK(INDEX('Milestone Tracker – MENA'!$D:$D,76)),D330,INDEX('Milestone Tracker – MENA'!$D:$D,76))</f>
        <v>0</v>
      </c>
      <c r="E331" t="str">
        <f>IF(ISBLANK(INDEX('Milestone Tracker – MENA'!$E:$E,76)),"",INDEX('Milestone Tracker – MENA'!$E:$E,76))</f>
        <v/>
      </c>
      <c r="F331" t="str">
        <f>IF(ISBLANK(INDEX('Milestone Tracker – MENA'!$F:$F,76)),"",INDEX('Milestone Tracker – MENA'!$F:$F,76))</f>
        <v/>
      </c>
      <c r="G331" t="e">
        <f>IF(ISBLANK(INDEX('Milestone Tracker – MENA'!#REF!,76)),"",INDEX('Milestone Tracker – MENA'!#REF!,76))</f>
        <v>#REF!</v>
      </c>
      <c r="H331" t="str">
        <f>IF(ISBLANK(INDEX('Milestone Tracker – MENA'!$G:$G,76)),"",INDEX('Milestone Tracker – MENA'!$G:$G,76))</f>
        <v/>
      </c>
      <c r="I331" t="str">
        <f>IF(ISBLANK(INDEX('Milestone Tracker – MENA'!$H:$H,76)),"",INDEX('Milestone Tracker – MENA'!$H:$H,76))</f>
        <v/>
      </c>
      <c r="J331" t="e">
        <f>IF(ISBLANK(INDEX('Milestone Tracker – MENA'!#REF!,76)),"",INDEX('Milestone Tracker – MENA'!#REF!,76))</f>
        <v>#REF!</v>
      </c>
      <c r="K331">
        <f t="shared" si="10"/>
        <v>0</v>
      </c>
      <c r="L331">
        <f t="shared" si="11"/>
        <v>0</v>
      </c>
    </row>
    <row r="332" spans="1:12" x14ac:dyDescent="0.35">
      <c r="A332">
        <v>77</v>
      </c>
      <c r="B332">
        <f>IF(ISBLANK(INDEX('Milestone Tracker – MENA'!$B:$B,77)),B331,INDEX('Milestone Tracker – MENA'!$B:$B,77))</f>
        <v>0</v>
      </c>
      <c r="C332">
        <f>IF(ISBLANK(INDEX('Milestone Tracker – MENA'!$C:$C,77)),C331,INDEX('Milestone Tracker – MENA'!$C:$C,77))</f>
        <v>0</v>
      </c>
      <c r="D332">
        <f>IF(ISBLANK(INDEX('Milestone Tracker – MENA'!$D:$D,77)),D331,INDEX('Milestone Tracker – MENA'!$D:$D,77))</f>
        <v>0</v>
      </c>
      <c r="E332" t="str">
        <f>IF(ISBLANK(INDEX('Milestone Tracker – MENA'!$E:$E,77)),"",INDEX('Milestone Tracker – MENA'!$E:$E,77))</f>
        <v/>
      </c>
      <c r="F332" t="str">
        <f>IF(ISBLANK(INDEX('Milestone Tracker – MENA'!$F:$F,77)),"",INDEX('Milestone Tracker – MENA'!$F:$F,77))</f>
        <v/>
      </c>
      <c r="G332" t="e">
        <f>IF(ISBLANK(INDEX('Milestone Tracker – MENA'!#REF!,77)),"",INDEX('Milestone Tracker – MENA'!#REF!,77))</f>
        <v>#REF!</v>
      </c>
      <c r="H332" t="str">
        <f>IF(ISBLANK(INDEX('Milestone Tracker – MENA'!$G:$G,77)),"",INDEX('Milestone Tracker – MENA'!$G:$G,77))</f>
        <v/>
      </c>
      <c r="I332" t="str">
        <f>IF(ISBLANK(INDEX('Milestone Tracker – MENA'!$H:$H,77)),"",INDEX('Milestone Tracker – MENA'!$H:$H,77))</f>
        <v/>
      </c>
      <c r="J332" t="e">
        <f>IF(ISBLANK(INDEX('Milestone Tracker – MENA'!#REF!,77)),"",INDEX('Milestone Tracker – MENA'!#REF!,77))</f>
        <v>#REF!</v>
      </c>
      <c r="K332">
        <f t="shared" si="10"/>
        <v>0</v>
      </c>
      <c r="L332">
        <f t="shared" si="11"/>
        <v>0</v>
      </c>
    </row>
    <row r="333" spans="1:12" x14ac:dyDescent="0.35">
      <c r="A333">
        <v>78</v>
      </c>
      <c r="B333">
        <f>IF(ISBLANK(INDEX('Milestone Tracker – MENA'!$B:$B,78)),B332,INDEX('Milestone Tracker – MENA'!$B:$B,78))</f>
        <v>0</v>
      </c>
      <c r="C333">
        <f>IF(ISBLANK(INDEX('Milestone Tracker – MENA'!$C:$C,78)),C332,INDEX('Milestone Tracker – MENA'!$C:$C,78))</f>
        <v>0</v>
      </c>
      <c r="D333">
        <f>IF(ISBLANK(INDEX('Milestone Tracker – MENA'!$D:$D,78)),D332,INDEX('Milestone Tracker – MENA'!$D:$D,78))</f>
        <v>0</v>
      </c>
      <c r="E333" t="str">
        <f>IF(ISBLANK(INDEX('Milestone Tracker – MENA'!$E:$E,78)),"",INDEX('Milestone Tracker – MENA'!$E:$E,78))</f>
        <v/>
      </c>
      <c r="F333" t="str">
        <f>IF(ISBLANK(INDEX('Milestone Tracker – MENA'!$F:$F,78)),"",INDEX('Milestone Tracker – MENA'!$F:$F,78))</f>
        <v/>
      </c>
      <c r="G333" t="e">
        <f>IF(ISBLANK(INDEX('Milestone Tracker – MENA'!#REF!,78)),"",INDEX('Milestone Tracker – MENA'!#REF!,78))</f>
        <v>#REF!</v>
      </c>
      <c r="H333" t="str">
        <f>IF(ISBLANK(INDEX('Milestone Tracker – MENA'!$G:$G,78)),"",INDEX('Milestone Tracker – MENA'!$G:$G,78))</f>
        <v/>
      </c>
      <c r="I333" t="str">
        <f>IF(ISBLANK(INDEX('Milestone Tracker – MENA'!$H:$H,78)),"",INDEX('Milestone Tracker – MENA'!$H:$H,78))</f>
        <v/>
      </c>
      <c r="J333" t="e">
        <f>IF(ISBLANK(INDEX('Milestone Tracker – MENA'!#REF!,78)),"",INDEX('Milestone Tracker – MENA'!#REF!,78))</f>
        <v>#REF!</v>
      </c>
      <c r="K333">
        <f t="shared" si="10"/>
        <v>0</v>
      </c>
      <c r="L333">
        <f t="shared" si="11"/>
        <v>0</v>
      </c>
    </row>
    <row r="334" spans="1:12" x14ac:dyDescent="0.35">
      <c r="A334">
        <v>79</v>
      </c>
      <c r="B334">
        <f>IF(ISBLANK(INDEX('Milestone Tracker – MENA'!$B:$B,79)),B333,INDEX('Milestone Tracker – MENA'!$B:$B,79))</f>
        <v>0</v>
      </c>
      <c r="C334">
        <f>IF(ISBLANK(INDEX('Milestone Tracker – MENA'!$C:$C,79)),C333,INDEX('Milestone Tracker – MENA'!$C:$C,79))</f>
        <v>0</v>
      </c>
      <c r="D334">
        <f>IF(ISBLANK(INDEX('Milestone Tracker – MENA'!$D:$D,79)),D333,INDEX('Milestone Tracker – MENA'!$D:$D,79))</f>
        <v>0</v>
      </c>
      <c r="E334" t="str">
        <f>IF(ISBLANK(INDEX('Milestone Tracker – MENA'!$E:$E,79)),"",INDEX('Milestone Tracker – MENA'!$E:$E,79))</f>
        <v/>
      </c>
      <c r="F334" t="str">
        <f>IF(ISBLANK(INDEX('Milestone Tracker – MENA'!$F:$F,79)),"",INDEX('Milestone Tracker – MENA'!$F:$F,79))</f>
        <v/>
      </c>
      <c r="G334" t="e">
        <f>IF(ISBLANK(INDEX('Milestone Tracker – MENA'!#REF!,79)),"",INDEX('Milestone Tracker – MENA'!#REF!,79))</f>
        <v>#REF!</v>
      </c>
      <c r="H334" t="str">
        <f>IF(ISBLANK(INDEX('Milestone Tracker – MENA'!$G:$G,79)),"",INDEX('Milestone Tracker – MENA'!$G:$G,79))</f>
        <v/>
      </c>
      <c r="I334" t="str">
        <f>IF(ISBLANK(INDEX('Milestone Tracker – MENA'!$H:$H,79)),"",INDEX('Milestone Tracker – MENA'!$H:$H,79))</f>
        <v/>
      </c>
      <c r="J334" t="e">
        <f>IF(ISBLANK(INDEX('Milestone Tracker – MENA'!#REF!,79)),"",INDEX('Milestone Tracker – MENA'!#REF!,79))</f>
        <v>#REF!</v>
      </c>
      <c r="K334">
        <f t="shared" si="10"/>
        <v>0</v>
      </c>
      <c r="L334">
        <f t="shared" si="11"/>
        <v>0</v>
      </c>
    </row>
    <row r="335" spans="1:12" x14ac:dyDescent="0.35">
      <c r="A335">
        <v>80</v>
      </c>
      <c r="B335">
        <f>IF(ISBLANK(INDEX('Milestone Tracker – MENA'!$B:$B,80)),B334,INDEX('Milestone Tracker – MENA'!$B:$B,80))</f>
        <v>0</v>
      </c>
      <c r="C335">
        <f>IF(ISBLANK(INDEX('Milestone Tracker – MENA'!$C:$C,80)),C334,INDEX('Milestone Tracker – MENA'!$C:$C,80))</f>
        <v>0</v>
      </c>
      <c r="D335">
        <f>IF(ISBLANK(INDEX('Milestone Tracker – MENA'!$D:$D,80)),D334,INDEX('Milestone Tracker – MENA'!$D:$D,80))</f>
        <v>0</v>
      </c>
      <c r="E335" t="str">
        <f>IF(ISBLANK(INDEX('Milestone Tracker – MENA'!$E:$E,80)),"",INDEX('Milestone Tracker – MENA'!$E:$E,80))</f>
        <v/>
      </c>
      <c r="F335" t="str">
        <f>IF(ISBLANK(INDEX('Milestone Tracker – MENA'!$F:$F,80)),"",INDEX('Milestone Tracker – MENA'!$F:$F,80))</f>
        <v/>
      </c>
      <c r="G335" t="e">
        <f>IF(ISBLANK(INDEX('Milestone Tracker – MENA'!#REF!,80)),"",INDEX('Milestone Tracker – MENA'!#REF!,80))</f>
        <v>#REF!</v>
      </c>
      <c r="H335" t="str">
        <f>IF(ISBLANK(INDEX('Milestone Tracker – MENA'!$G:$G,80)),"",INDEX('Milestone Tracker – MENA'!$G:$G,80))</f>
        <v/>
      </c>
      <c r="I335" t="str">
        <f>IF(ISBLANK(INDEX('Milestone Tracker – MENA'!$H:$H,80)),"",INDEX('Milestone Tracker – MENA'!$H:$H,80))</f>
        <v/>
      </c>
      <c r="J335" t="e">
        <f>IF(ISBLANK(INDEX('Milestone Tracker – MENA'!#REF!,80)),"",INDEX('Milestone Tracker – MENA'!#REF!,80))</f>
        <v>#REF!</v>
      </c>
      <c r="K335">
        <f t="shared" si="10"/>
        <v>0</v>
      </c>
      <c r="L335">
        <f t="shared" si="11"/>
        <v>0</v>
      </c>
    </row>
    <row r="336" spans="1:12" x14ac:dyDescent="0.35">
      <c r="A336">
        <v>81</v>
      </c>
      <c r="B336">
        <f>IF(ISBLANK(INDEX('Milestone Tracker – MENA'!$B:$B,81)),B335,INDEX('Milestone Tracker – MENA'!$B:$B,81))</f>
        <v>0</v>
      </c>
      <c r="C336">
        <f>IF(ISBLANK(INDEX('Milestone Tracker – MENA'!$C:$C,81)),C335,INDEX('Milestone Tracker – MENA'!$C:$C,81))</f>
        <v>0</v>
      </c>
      <c r="D336">
        <f>IF(ISBLANK(INDEX('Milestone Tracker – MENA'!$D:$D,81)),D335,INDEX('Milestone Tracker – MENA'!$D:$D,81))</f>
        <v>0</v>
      </c>
      <c r="E336" t="str">
        <f>IF(ISBLANK(INDEX('Milestone Tracker – MENA'!$E:$E,81)),"",INDEX('Milestone Tracker – MENA'!$E:$E,81))</f>
        <v/>
      </c>
      <c r="F336" t="str">
        <f>IF(ISBLANK(INDEX('Milestone Tracker – MENA'!$F:$F,81)),"",INDEX('Milestone Tracker – MENA'!$F:$F,81))</f>
        <v/>
      </c>
      <c r="G336" t="e">
        <f>IF(ISBLANK(INDEX('Milestone Tracker – MENA'!#REF!,81)),"",INDEX('Milestone Tracker – MENA'!#REF!,81))</f>
        <v>#REF!</v>
      </c>
      <c r="H336" t="str">
        <f>IF(ISBLANK(INDEX('Milestone Tracker – MENA'!$G:$G,81)),"",INDEX('Milestone Tracker – MENA'!$G:$G,81))</f>
        <v/>
      </c>
      <c r="I336" t="str">
        <f>IF(ISBLANK(INDEX('Milestone Tracker – MENA'!$H:$H,81)),"",INDEX('Milestone Tracker – MENA'!$H:$H,81))</f>
        <v/>
      </c>
      <c r="J336" t="e">
        <f>IF(ISBLANK(INDEX('Milestone Tracker – MENA'!#REF!,81)),"",INDEX('Milestone Tracker – MENA'!#REF!,81))</f>
        <v>#REF!</v>
      </c>
      <c r="K336">
        <f t="shared" si="10"/>
        <v>0</v>
      </c>
      <c r="L336">
        <f t="shared" si="11"/>
        <v>0</v>
      </c>
    </row>
    <row r="337" spans="1:12" x14ac:dyDescent="0.35">
      <c r="A337">
        <v>82</v>
      </c>
      <c r="B337">
        <f>IF(ISBLANK(INDEX('Milestone Tracker – MENA'!$B:$B,82)),B336,INDEX('Milestone Tracker – MENA'!$B:$B,82))</f>
        <v>0</v>
      </c>
      <c r="C337">
        <f>IF(ISBLANK(INDEX('Milestone Tracker – MENA'!$C:$C,82)),C336,INDEX('Milestone Tracker – MENA'!$C:$C,82))</f>
        <v>0</v>
      </c>
      <c r="D337">
        <f>IF(ISBLANK(INDEX('Milestone Tracker – MENA'!$D:$D,82)),D336,INDEX('Milestone Tracker – MENA'!$D:$D,82))</f>
        <v>0</v>
      </c>
      <c r="E337" t="str">
        <f>IF(ISBLANK(INDEX('Milestone Tracker – MENA'!$E:$E,82)),"",INDEX('Milestone Tracker – MENA'!$E:$E,82))</f>
        <v/>
      </c>
      <c r="F337" t="str">
        <f>IF(ISBLANK(INDEX('Milestone Tracker – MENA'!$F:$F,82)),"",INDEX('Milestone Tracker – MENA'!$F:$F,82))</f>
        <v/>
      </c>
      <c r="G337" t="e">
        <f>IF(ISBLANK(INDEX('Milestone Tracker – MENA'!#REF!,82)),"",INDEX('Milestone Tracker – MENA'!#REF!,82))</f>
        <v>#REF!</v>
      </c>
      <c r="H337" t="str">
        <f>IF(ISBLANK(INDEX('Milestone Tracker – MENA'!$G:$G,82)),"",INDEX('Milestone Tracker – MENA'!$G:$G,82))</f>
        <v/>
      </c>
      <c r="I337" t="str">
        <f>IF(ISBLANK(INDEX('Milestone Tracker – MENA'!$H:$H,82)),"",INDEX('Milestone Tracker – MENA'!$H:$H,82))</f>
        <v/>
      </c>
      <c r="J337" t="e">
        <f>IF(ISBLANK(INDEX('Milestone Tracker – MENA'!#REF!,82)),"",INDEX('Milestone Tracker – MENA'!#REF!,82))</f>
        <v>#REF!</v>
      </c>
      <c r="K337">
        <f t="shared" si="10"/>
        <v>0</v>
      </c>
      <c r="L337">
        <f t="shared" si="11"/>
        <v>0</v>
      </c>
    </row>
    <row r="338" spans="1:12" x14ac:dyDescent="0.35">
      <c r="A338">
        <v>83</v>
      </c>
      <c r="B338">
        <f>IF(ISBLANK(INDEX('Milestone Tracker – MENA'!$B:$B,83)),B337,INDEX('Milestone Tracker – MENA'!$B:$B,83))</f>
        <v>0</v>
      </c>
      <c r="C338">
        <f>IF(ISBLANK(INDEX('Milestone Tracker – MENA'!$C:$C,83)),C337,INDEX('Milestone Tracker – MENA'!$C:$C,83))</f>
        <v>0</v>
      </c>
      <c r="D338">
        <f>IF(ISBLANK(INDEX('Milestone Tracker – MENA'!$D:$D,83)),D337,INDEX('Milestone Tracker – MENA'!$D:$D,83))</f>
        <v>0</v>
      </c>
      <c r="E338" t="str">
        <f>IF(ISBLANK(INDEX('Milestone Tracker – MENA'!$E:$E,83)),"",INDEX('Milestone Tracker – MENA'!$E:$E,83))</f>
        <v/>
      </c>
      <c r="F338" t="str">
        <f>IF(ISBLANK(INDEX('Milestone Tracker – MENA'!$F:$F,83)),"",INDEX('Milestone Tracker – MENA'!$F:$F,83))</f>
        <v/>
      </c>
      <c r="G338" t="e">
        <f>IF(ISBLANK(INDEX('Milestone Tracker – MENA'!#REF!,83)),"",INDEX('Milestone Tracker – MENA'!#REF!,83))</f>
        <v>#REF!</v>
      </c>
      <c r="H338" t="str">
        <f>IF(ISBLANK(INDEX('Milestone Tracker – MENA'!$G:$G,83)),"",INDEX('Milestone Tracker – MENA'!$G:$G,83))</f>
        <v/>
      </c>
      <c r="I338" t="str">
        <f>IF(ISBLANK(INDEX('Milestone Tracker – MENA'!$H:$H,83)),"",INDEX('Milestone Tracker – MENA'!$H:$H,83))</f>
        <v/>
      </c>
      <c r="J338" t="e">
        <f>IF(ISBLANK(INDEX('Milestone Tracker – MENA'!#REF!,83)),"",INDEX('Milestone Tracker – MENA'!#REF!,83))</f>
        <v>#REF!</v>
      </c>
      <c r="K338">
        <f t="shared" si="10"/>
        <v>0</v>
      </c>
      <c r="L338">
        <f t="shared" si="11"/>
        <v>0</v>
      </c>
    </row>
    <row r="339" spans="1:12" x14ac:dyDescent="0.35">
      <c r="A339">
        <v>84</v>
      </c>
      <c r="B339">
        <f>IF(ISBLANK(INDEX('Milestone Tracker – MENA'!$B:$B,84)),B338,INDEX('Milestone Tracker – MENA'!$B:$B,84))</f>
        <v>0</v>
      </c>
      <c r="C339">
        <f>IF(ISBLANK(INDEX('Milestone Tracker – MENA'!$C:$C,84)),C338,INDEX('Milestone Tracker – MENA'!$C:$C,84))</f>
        <v>0</v>
      </c>
      <c r="D339">
        <f>IF(ISBLANK(INDEX('Milestone Tracker – MENA'!$D:$D,84)),D338,INDEX('Milestone Tracker – MENA'!$D:$D,84))</f>
        <v>0</v>
      </c>
      <c r="E339" t="str">
        <f>IF(ISBLANK(INDEX('Milestone Tracker – MENA'!$E:$E,84)),"",INDEX('Milestone Tracker – MENA'!$E:$E,84))</f>
        <v/>
      </c>
      <c r="F339" t="str">
        <f>IF(ISBLANK(INDEX('Milestone Tracker – MENA'!$F:$F,84)),"",INDEX('Milestone Tracker – MENA'!$F:$F,84))</f>
        <v/>
      </c>
      <c r="G339" t="e">
        <f>IF(ISBLANK(INDEX('Milestone Tracker – MENA'!#REF!,84)),"",INDEX('Milestone Tracker – MENA'!#REF!,84))</f>
        <v>#REF!</v>
      </c>
      <c r="H339" t="str">
        <f>IF(ISBLANK(INDEX('Milestone Tracker – MENA'!$G:$G,84)),"",INDEX('Milestone Tracker – MENA'!$G:$G,84))</f>
        <v/>
      </c>
      <c r="I339" t="str">
        <f>IF(ISBLANK(INDEX('Milestone Tracker – MENA'!$H:$H,84)),"",INDEX('Milestone Tracker – MENA'!$H:$H,84))</f>
        <v/>
      </c>
      <c r="J339" t="e">
        <f>IF(ISBLANK(INDEX('Milestone Tracker – MENA'!#REF!,84)),"",INDEX('Milestone Tracker – MENA'!#REF!,84))</f>
        <v>#REF!</v>
      </c>
      <c r="K339">
        <f t="shared" si="10"/>
        <v>0</v>
      </c>
      <c r="L339">
        <f t="shared" si="11"/>
        <v>0</v>
      </c>
    </row>
    <row r="340" spans="1:12" x14ac:dyDescent="0.35">
      <c r="A340">
        <v>85</v>
      </c>
      <c r="B340">
        <f>IF(ISBLANK(INDEX('Milestone Tracker – MENA'!$B:$B,85)),B339,INDEX('Milestone Tracker – MENA'!$B:$B,85))</f>
        <v>0</v>
      </c>
      <c r="C340">
        <f>IF(ISBLANK(INDEX('Milestone Tracker – MENA'!$C:$C,85)),C339,INDEX('Milestone Tracker – MENA'!$C:$C,85))</f>
        <v>0</v>
      </c>
      <c r="D340">
        <f>IF(ISBLANK(INDEX('Milestone Tracker – MENA'!$D:$D,85)),D339,INDEX('Milestone Tracker – MENA'!$D:$D,85))</f>
        <v>0</v>
      </c>
      <c r="E340" t="str">
        <f>IF(ISBLANK(INDEX('Milestone Tracker – MENA'!$E:$E,85)),"",INDEX('Milestone Tracker – MENA'!$E:$E,85))</f>
        <v/>
      </c>
      <c r="F340" t="str">
        <f>IF(ISBLANK(INDEX('Milestone Tracker – MENA'!$F:$F,85)),"",INDEX('Milestone Tracker – MENA'!$F:$F,85))</f>
        <v/>
      </c>
      <c r="G340" t="e">
        <f>IF(ISBLANK(INDEX('Milestone Tracker – MENA'!#REF!,85)),"",INDEX('Milestone Tracker – MENA'!#REF!,85))</f>
        <v>#REF!</v>
      </c>
      <c r="H340" t="str">
        <f>IF(ISBLANK(INDEX('Milestone Tracker – MENA'!$G:$G,85)),"",INDEX('Milestone Tracker – MENA'!$G:$G,85))</f>
        <v/>
      </c>
      <c r="I340" t="str">
        <f>IF(ISBLANK(INDEX('Milestone Tracker – MENA'!$H:$H,85)),"",INDEX('Milestone Tracker – MENA'!$H:$H,85))</f>
        <v/>
      </c>
      <c r="J340" t="e">
        <f>IF(ISBLANK(INDEX('Milestone Tracker – MENA'!#REF!,85)),"",INDEX('Milestone Tracker – MENA'!#REF!,85))</f>
        <v>#REF!</v>
      </c>
      <c r="K340">
        <f t="shared" si="10"/>
        <v>0</v>
      </c>
      <c r="L340">
        <f t="shared" si="11"/>
        <v>0</v>
      </c>
    </row>
    <row r="341" spans="1:12" x14ac:dyDescent="0.35">
      <c r="A341">
        <v>86</v>
      </c>
      <c r="B341">
        <f>IF(ISBLANK(INDEX('Milestone Tracker – MENA'!$B:$B,86)),B340,INDEX('Milestone Tracker – MENA'!$B:$B,86))</f>
        <v>0</v>
      </c>
      <c r="C341">
        <f>IF(ISBLANK(INDEX('Milestone Tracker – MENA'!$C:$C,86)),C340,INDEX('Milestone Tracker – MENA'!$C:$C,86))</f>
        <v>0</v>
      </c>
      <c r="D341">
        <f>IF(ISBLANK(INDEX('Milestone Tracker – MENA'!$D:$D,86)),D340,INDEX('Milestone Tracker – MENA'!$D:$D,86))</f>
        <v>0</v>
      </c>
      <c r="E341" t="str">
        <f>IF(ISBLANK(INDEX('Milestone Tracker – MENA'!$E:$E,86)),"",INDEX('Milestone Tracker – MENA'!$E:$E,86))</f>
        <v/>
      </c>
      <c r="F341" t="str">
        <f>IF(ISBLANK(INDEX('Milestone Tracker – MENA'!$F:$F,86)),"",INDEX('Milestone Tracker – MENA'!$F:$F,86))</f>
        <v/>
      </c>
      <c r="G341" t="e">
        <f>IF(ISBLANK(INDEX('Milestone Tracker – MENA'!#REF!,86)),"",INDEX('Milestone Tracker – MENA'!#REF!,86))</f>
        <v>#REF!</v>
      </c>
      <c r="H341" t="str">
        <f>IF(ISBLANK(INDEX('Milestone Tracker – MENA'!$G:$G,86)),"",INDEX('Milestone Tracker – MENA'!$G:$G,86))</f>
        <v/>
      </c>
      <c r="I341" t="str">
        <f>IF(ISBLANK(INDEX('Milestone Tracker – MENA'!$H:$H,86)),"",INDEX('Milestone Tracker – MENA'!$H:$H,86))</f>
        <v/>
      </c>
      <c r="J341" t="e">
        <f>IF(ISBLANK(INDEX('Milestone Tracker – MENA'!#REF!,86)),"",INDEX('Milestone Tracker – MENA'!#REF!,86))</f>
        <v>#REF!</v>
      </c>
      <c r="K341">
        <f t="shared" si="10"/>
        <v>0</v>
      </c>
      <c r="L341">
        <f t="shared" si="11"/>
        <v>0</v>
      </c>
    </row>
    <row r="342" spans="1:12" x14ac:dyDescent="0.35">
      <c r="A342">
        <v>87</v>
      </c>
      <c r="B342">
        <f>IF(ISBLANK(INDEX('Milestone Tracker – MENA'!$B:$B,87)),B341,INDEX('Milestone Tracker – MENA'!$B:$B,87))</f>
        <v>0</v>
      </c>
      <c r="C342">
        <f>IF(ISBLANK(INDEX('Milestone Tracker – MENA'!$C:$C,87)),C341,INDEX('Milestone Tracker – MENA'!$C:$C,87))</f>
        <v>0</v>
      </c>
      <c r="D342">
        <f>IF(ISBLANK(INDEX('Milestone Tracker – MENA'!$D:$D,87)),D341,INDEX('Milestone Tracker – MENA'!$D:$D,87))</f>
        <v>0</v>
      </c>
      <c r="E342" t="str">
        <f>IF(ISBLANK(INDEX('Milestone Tracker – MENA'!$E:$E,87)),"",INDEX('Milestone Tracker – MENA'!$E:$E,87))</f>
        <v/>
      </c>
      <c r="F342" t="str">
        <f>IF(ISBLANK(INDEX('Milestone Tracker – MENA'!$F:$F,87)),"",INDEX('Milestone Tracker – MENA'!$F:$F,87))</f>
        <v/>
      </c>
      <c r="G342" t="e">
        <f>IF(ISBLANK(INDEX('Milestone Tracker – MENA'!#REF!,87)),"",INDEX('Milestone Tracker – MENA'!#REF!,87))</f>
        <v>#REF!</v>
      </c>
      <c r="H342" t="str">
        <f>IF(ISBLANK(INDEX('Milestone Tracker – MENA'!$G:$G,87)),"",INDEX('Milestone Tracker – MENA'!$G:$G,87))</f>
        <v/>
      </c>
      <c r="I342" t="str">
        <f>IF(ISBLANK(INDEX('Milestone Tracker – MENA'!$H:$H,87)),"",INDEX('Milestone Tracker – MENA'!$H:$H,87))</f>
        <v/>
      </c>
      <c r="J342" t="e">
        <f>IF(ISBLANK(INDEX('Milestone Tracker – MENA'!#REF!,87)),"",INDEX('Milestone Tracker – MENA'!#REF!,87))</f>
        <v>#REF!</v>
      </c>
      <c r="K342">
        <f t="shared" si="10"/>
        <v>0</v>
      </c>
      <c r="L342">
        <f t="shared" si="11"/>
        <v>0</v>
      </c>
    </row>
    <row r="343" spans="1:12" x14ac:dyDescent="0.35">
      <c r="A343">
        <v>88</v>
      </c>
      <c r="B343">
        <f>IF(ISBLANK(INDEX('Milestone Tracker – MENA'!$B:$B,88)),B342,INDEX('Milestone Tracker – MENA'!$B:$B,88))</f>
        <v>0</v>
      </c>
      <c r="C343">
        <f>IF(ISBLANK(INDEX('Milestone Tracker – MENA'!$C:$C,88)),C342,INDEX('Milestone Tracker – MENA'!$C:$C,88))</f>
        <v>0</v>
      </c>
      <c r="D343">
        <f>IF(ISBLANK(INDEX('Milestone Tracker – MENA'!$D:$D,88)),D342,INDEX('Milestone Tracker – MENA'!$D:$D,88))</f>
        <v>0</v>
      </c>
      <c r="E343" t="str">
        <f>IF(ISBLANK(INDEX('Milestone Tracker – MENA'!$E:$E,88)),"",INDEX('Milestone Tracker – MENA'!$E:$E,88))</f>
        <v/>
      </c>
      <c r="F343" t="str">
        <f>IF(ISBLANK(INDEX('Milestone Tracker – MENA'!$F:$F,88)),"",INDEX('Milestone Tracker – MENA'!$F:$F,88))</f>
        <v/>
      </c>
      <c r="G343" t="e">
        <f>IF(ISBLANK(INDEX('Milestone Tracker – MENA'!#REF!,88)),"",INDEX('Milestone Tracker – MENA'!#REF!,88))</f>
        <v>#REF!</v>
      </c>
      <c r="H343" t="str">
        <f>IF(ISBLANK(INDEX('Milestone Tracker – MENA'!$G:$G,88)),"",INDEX('Milestone Tracker – MENA'!$G:$G,88))</f>
        <v/>
      </c>
      <c r="I343" t="str">
        <f>IF(ISBLANK(INDEX('Milestone Tracker – MENA'!$H:$H,88)),"",INDEX('Milestone Tracker – MENA'!$H:$H,88))</f>
        <v/>
      </c>
      <c r="J343" t="e">
        <f>IF(ISBLANK(INDEX('Milestone Tracker – MENA'!#REF!,88)),"",INDEX('Milestone Tracker – MENA'!#REF!,88))</f>
        <v>#REF!</v>
      </c>
      <c r="K343">
        <f t="shared" si="10"/>
        <v>0</v>
      </c>
      <c r="L343">
        <f t="shared" si="11"/>
        <v>0</v>
      </c>
    </row>
    <row r="344" spans="1:12" x14ac:dyDescent="0.35">
      <c r="A344">
        <v>89</v>
      </c>
      <c r="B344">
        <f>IF(ISBLANK(INDEX('Milestone Tracker – MENA'!$B:$B,89)),B343,INDEX('Milestone Tracker – MENA'!$B:$B,89))</f>
        <v>0</v>
      </c>
      <c r="C344">
        <f>IF(ISBLANK(INDEX('Milestone Tracker – MENA'!$C:$C,89)),C343,INDEX('Milestone Tracker – MENA'!$C:$C,89))</f>
        <v>0</v>
      </c>
      <c r="D344">
        <f>IF(ISBLANK(INDEX('Milestone Tracker – MENA'!$D:$D,89)),D343,INDEX('Milestone Tracker – MENA'!$D:$D,89))</f>
        <v>0</v>
      </c>
      <c r="E344" t="str">
        <f>IF(ISBLANK(INDEX('Milestone Tracker – MENA'!$E:$E,89)),"",INDEX('Milestone Tracker – MENA'!$E:$E,89))</f>
        <v/>
      </c>
      <c r="F344" t="str">
        <f>IF(ISBLANK(INDEX('Milestone Tracker – MENA'!$F:$F,89)),"",INDEX('Milestone Tracker – MENA'!$F:$F,89))</f>
        <v/>
      </c>
      <c r="G344" t="e">
        <f>IF(ISBLANK(INDEX('Milestone Tracker – MENA'!#REF!,89)),"",INDEX('Milestone Tracker – MENA'!#REF!,89))</f>
        <v>#REF!</v>
      </c>
      <c r="H344" t="str">
        <f>IF(ISBLANK(INDEX('Milestone Tracker – MENA'!$G:$G,89)),"",INDEX('Milestone Tracker – MENA'!$G:$G,89))</f>
        <v/>
      </c>
      <c r="I344" t="str">
        <f>IF(ISBLANK(INDEX('Milestone Tracker – MENA'!$H:$H,89)),"",INDEX('Milestone Tracker – MENA'!$H:$H,89))</f>
        <v/>
      </c>
      <c r="J344" t="e">
        <f>IF(ISBLANK(INDEX('Milestone Tracker – MENA'!#REF!,89)),"",INDEX('Milestone Tracker – MENA'!#REF!,89))</f>
        <v>#REF!</v>
      </c>
      <c r="K344">
        <f t="shared" si="10"/>
        <v>0</v>
      </c>
      <c r="L344">
        <f t="shared" si="11"/>
        <v>0</v>
      </c>
    </row>
    <row r="345" spans="1:12" x14ac:dyDescent="0.35">
      <c r="A345">
        <v>90</v>
      </c>
      <c r="B345">
        <f>IF(ISBLANK(INDEX('Milestone Tracker – MENA'!$B:$B,90)),B344,INDEX('Milestone Tracker – MENA'!$B:$B,90))</f>
        <v>0</v>
      </c>
      <c r="C345">
        <f>IF(ISBLANK(INDEX('Milestone Tracker – MENA'!$C:$C,90)),C344,INDEX('Milestone Tracker – MENA'!$C:$C,90))</f>
        <v>0</v>
      </c>
      <c r="D345">
        <f>IF(ISBLANK(INDEX('Milestone Tracker – MENA'!$D:$D,90)),D344,INDEX('Milestone Tracker – MENA'!$D:$D,90))</f>
        <v>0</v>
      </c>
      <c r="E345" t="str">
        <f>IF(ISBLANK(INDEX('Milestone Tracker – MENA'!$E:$E,90)),"",INDEX('Milestone Tracker – MENA'!$E:$E,90))</f>
        <v/>
      </c>
      <c r="F345" t="str">
        <f>IF(ISBLANK(INDEX('Milestone Tracker – MENA'!$F:$F,90)),"",INDEX('Milestone Tracker – MENA'!$F:$F,90))</f>
        <v/>
      </c>
      <c r="G345" t="e">
        <f>IF(ISBLANK(INDEX('Milestone Tracker – MENA'!#REF!,90)),"",INDEX('Milestone Tracker – MENA'!#REF!,90))</f>
        <v>#REF!</v>
      </c>
      <c r="H345" t="str">
        <f>IF(ISBLANK(INDEX('Milestone Tracker – MENA'!$G:$G,90)),"",INDEX('Milestone Tracker – MENA'!$G:$G,90))</f>
        <v/>
      </c>
      <c r="I345" t="str">
        <f>IF(ISBLANK(INDEX('Milestone Tracker – MENA'!$H:$H,90)),"",INDEX('Milestone Tracker – MENA'!$H:$H,90))</f>
        <v/>
      </c>
      <c r="J345" t="e">
        <f>IF(ISBLANK(INDEX('Milestone Tracker – MENA'!#REF!,90)),"",INDEX('Milestone Tracker – MENA'!#REF!,90))</f>
        <v>#REF!</v>
      </c>
      <c r="K345">
        <f t="shared" si="10"/>
        <v>0</v>
      </c>
      <c r="L345">
        <f t="shared" si="11"/>
        <v>0</v>
      </c>
    </row>
    <row r="346" spans="1:12" x14ac:dyDescent="0.35">
      <c r="A346">
        <v>91</v>
      </c>
      <c r="B346">
        <f>IF(ISBLANK(INDEX('Milestone Tracker – MENA'!$B:$B,91)),B345,INDEX('Milestone Tracker – MENA'!$B:$B,91))</f>
        <v>0</v>
      </c>
      <c r="C346">
        <f>IF(ISBLANK(INDEX('Milestone Tracker – MENA'!$C:$C,91)),C345,INDEX('Milestone Tracker – MENA'!$C:$C,91))</f>
        <v>0</v>
      </c>
      <c r="D346">
        <f>IF(ISBLANK(INDEX('Milestone Tracker – MENA'!$D:$D,91)),D345,INDEX('Milestone Tracker – MENA'!$D:$D,91))</f>
        <v>0</v>
      </c>
      <c r="E346" t="str">
        <f>IF(ISBLANK(INDEX('Milestone Tracker – MENA'!$E:$E,91)),"",INDEX('Milestone Tracker – MENA'!$E:$E,91))</f>
        <v/>
      </c>
      <c r="F346" t="str">
        <f>IF(ISBLANK(INDEX('Milestone Tracker – MENA'!$F:$F,91)),"",INDEX('Milestone Tracker – MENA'!$F:$F,91))</f>
        <v/>
      </c>
      <c r="G346" t="e">
        <f>IF(ISBLANK(INDEX('Milestone Tracker – MENA'!#REF!,91)),"",INDEX('Milestone Tracker – MENA'!#REF!,91))</f>
        <v>#REF!</v>
      </c>
      <c r="H346" t="str">
        <f>IF(ISBLANK(INDEX('Milestone Tracker – MENA'!$G:$G,91)),"",INDEX('Milestone Tracker – MENA'!$G:$G,91))</f>
        <v/>
      </c>
      <c r="I346" t="str">
        <f>IF(ISBLANK(INDEX('Milestone Tracker – MENA'!$H:$H,91)),"",INDEX('Milestone Tracker – MENA'!$H:$H,91))</f>
        <v/>
      </c>
      <c r="J346" t="e">
        <f>IF(ISBLANK(INDEX('Milestone Tracker – MENA'!#REF!,91)),"",INDEX('Milestone Tracker – MENA'!#REF!,91))</f>
        <v>#REF!</v>
      </c>
      <c r="K346">
        <f t="shared" si="10"/>
        <v>0</v>
      </c>
      <c r="L346">
        <f t="shared" si="11"/>
        <v>0</v>
      </c>
    </row>
    <row r="347" spans="1:12" x14ac:dyDescent="0.35">
      <c r="A347">
        <v>92</v>
      </c>
      <c r="B347">
        <f>IF(ISBLANK(INDEX('Milestone Tracker – MENA'!$B:$B,92)),B346,INDEX('Milestone Tracker – MENA'!$B:$B,92))</f>
        <v>0</v>
      </c>
      <c r="C347">
        <f>IF(ISBLANK(INDEX('Milestone Tracker – MENA'!$C:$C,92)),C346,INDEX('Milestone Tracker – MENA'!$C:$C,92))</f>
        <v>0</v>
      </c>
      <c r="D347">
        <f>IF(ISBLANK(INDEX('Milestone Tracker – MENA'!$D:$D,92)),D346,INDEX('Milestone Tracker – MENA'!$D:$D,92))</f>
        <v>0</v>
      </c>
      <c r="E347" t="str">
        <f>IF(ISBLANK(INDEX('Milestone Tracker – MENA'!$E:$E,92)),"",INDEX('Milestone Tracker – MENA'!$E:$E,92))</f>
        <v/>
      </c>
      <c r="F347" t="str">
        <f>IF(ISBLANK(INDEX('Milestone Tracker – MENA'!$F:$F,92)),"",INDEX('Milestone Tracker – MENA'!$F:$F,92))</f>
        <v/>
      </c>
      <c r="G347" t="e">
        <f>IF(ISBLANK(INDEX('Milestone Tracker – MENA'!#REF!,92)),"",INDEX('Milestone Tracker – MENA'!#REF!,92))</f>
        <v>#REF!</v>
      </c>
      <c r="H347" t="str">
        <f>IF(ISBLANK(INDEX('Milestone Tracker – MENA'!$G:$G,92)),"",INDEX('Milestone Tracker – MENA'!$G:$G,92))</f>
        <v/>
      </c>
      <c r="I347" t="str">
        <f>IF(ISBLANK(INDEX('Milestone Tracker – MENA'!$H:$H,92)),"",INDEX('Milestone Tracker – MENA'!$H:$H,92))</f>
        <v/>
      </c>
      <c r="J347" t="e">
        <f>IF(ISBLANK(INDEX('Milestone Tracker – MENA'!#REF!,92)),"",INDEX('Milestone Tracker – MENA'!#REF!,92))</f>
        <v>#REF!</v>
      </c>
      <c r="K347">
        <f t="shared" si="10"/>
        <v>0</v>
      </c>
      <c r="L347">
        <f t="shared" si="11"/>
        <v>0</v>
      </c>
    </row>
    <row r="348" spans="1:12" x14ac:dyDescent="0.35">
      <c r="A348">
        <v>93</v>
      </c>
      <c r="B348">
        <f>IF(ISBLANK(INDEX('Milestone Tracker – MENA'!$B:$B,93)),B347,INDEX('Milestone Tracker – MENA'!$B:$B,93))</f>
        <v>0</v>
      </c>
      <c r="C348">
        <f>IF(ISBLANK(INDEX('Milestone Tracker – MENA'!$C:$C,93)),C347,INDEX('Milestone Tracker – MENA'!$C:$C,93))</f>
        <v>0</v>
      </c>
      <c r="D348">
        <f>IF(ISBLANK(INDEX('Milestone Tracker – MENA'!$D:$D,93)),D347,INDEX('Milestone Tracker – MENA'!$D:$D,93))</f>
        <v>0</v>
      </c>
      <c r="E348" t="str">
        <f>IF(ISBLANK(INDEX('Milestone Tracker – MENA'!$E:$E,93)),"",INDEX('Milestone Tracker – MENA'!$E:$E,93))</f>
        <v/>
      </c>
      <c r="F348" t="str">
        <f>IF(ISBLANK(INDEX('Milestone Tracker – MENA'!$F:$F,93)),"",INDEX('Milestone Tracker – MENA'!$F:$F,93))</f>
        <v/>
      </c>
      <c r="G348" t="e">
        <f>IF(ISBLANK(INDEX('Milestone Tracker – MENA'!#REF!,93)),"",INDEX('Milestone Tracker – MENA'!#REF!,93))</f>
        <v>#REF!</v>
      </c>
      <c r="H348" t="str">
        <f>IF(ISBLANK(INDEX('Milestone Tracker – MENA'!$G:$G,93)),"",INDEX('Milestone Tracker – MENA'!$G:$G,93))</f>
        <v/>
      </c>
      <c r="I348" t="str">
        <f>IF(ISBLANK(INDEX('Milestone Tracker – MENA'!$H:$H,93)),"",INDEX('Milestone Tracker – MENA'!$H:$H,93))</f>
        <v/>
      </c>
      <c r="J348" t="e">
        <f>IF(ISBLANK(INDEX('Milestone Tracker – MENA'!#REF!,93)),"",INDEX('Milestone Tracker – MENA'!#REF!,93))</f>
        <v>#REF!</v>
      </c>
      <c r="K348">
        <f t="shared" si="10"/>
        <v>0</v>
      </c>
      <c r="L348">
        <f t="shared" si="11"/>
        <v>0</v>
      </c>
    </row>
    <row r="349" spans="1:12" x14ac:dyDescent="0.35">
      <c r="A349">
        <v>94</v>
      </c>
      <c r="B349">
        <f>IF(ISBLANK(INDEX('Milestone Tracker – MENA'!$B:$B,94)),B348,INDEX('Milestone Tracker – MENA'!$B:$B,94))</f>
        <v>0</v>
      </c>
      <c r="C349">
        <f>IF(ISBLANK(INDEX('Milestone Tracker – MENA'!$C:$C,94)),C348,INDEX('Milestone Tracker – MENA'!$C:$C,94))</f>
        <v>0</v>
      </c>
      <c r="D349">
        <f>IF(ISBLANK(INDEX('Milestone Tracker – MENA'!$D:$D,94)),D348,INDEX('Milestone Tracker – MENA'!$D:$D,94))</f>
        <v>0</v>
      </c>
      <c r="E349" t="str">
        <f>IF(ISBLANK(INDEX('Milestone Tracker – MENA'!$E:$E,94)),"",INDEX('Milestone Tracker – MENA'!$E:$E,94))</f>
        <v/>
      </c>
      <c r="F349" t="str">
        <f>IF(ISBLANK(INDEX('Milestone Tracker – MENA'!$F:$F,94)),"",INDEX('Milestone Tracker – MENA'!$F:$F,94))</f>
        <v/>
      </c>
      <c r="G349" t="e">
        <f>IF(ISBLANK(INDEX('Milestone Tracker – MENA'!#REF!,94)),"",INDEX('Milestone Tracker – MENA'!#REF!,94))</f>
        <v>#REF!</v>
      </c>
      <c r="H349" t="str">
        <f>IF(ISBLANK(INDEX('Milestone Tracker – MENA'!$G:$G,94)),"",INDEX('Milestone Tracker – MENA'!$G:$G,94))</f>
        <v/>
      </c>
      <c r="I349" t="str">
        <f>IF(ISBLANK(INDEX('Milestone Tracker – MENA'!$H:$H,94)),"",INDEX('Milestone Tracker – MENA'!$H:$H,94))</f>
        <v/>
      </c>
      <c r="J349" t="e">
        <f>IF(ISBLANK(INDEX('Milestone Tracker – MENA'!#REF!,94)),"",INDEX('Milestone Tracker – MENA'!#REF!,94))</f>
        <v>#REF!</v>
      </c>
      <c r="K349">
        <f t="shared" si="10"/>
        <v>0</v>
      </c>
      <c r="L349">
        <f t="shared" si="11"/>
        <v>0</v>
      </c>
    </row>
    <row r="350" spans="1:12" x14ac:dyDescent="0.35">
      <c r="A350">
        <v>95</v>
      </c>
      <c r="B350">
        <f>IF(ISBLANK(INDEX('Milestone Tracker – MENA'!$B:$B,95)),B349,INDEX('Milestone Tracker – MENA'!$B:$B,95))</f>
        <v>0</v>
      </c>
      <c r="C350">
        <f>IF(ISBLANK(INDEX('Milestone Tracker – MENA'!$C:$C,95)),C349,INDEX('Milestone Tracker – MENA'!$C:$C,95))</f>
        <v>0</v>
      </c>
      <c r="D350">
        <f>IF(ISBLANK(INDEX('Milestone Tracker – MENA'!$D:$D,95)),D349,INDEX('Milestone Tracker – MENA'!$D:$D,95))</f>
        <v>0</v>
      </c>
      <c r="E350" t="str">
        <f>IF(ISBLANK(INDEX('Milestone Tracker – MENA'!$E:$E,95)),"",INDEX('Milestone Tracker – MENA'!$E:$E,95))</f>
        <v/>
      </c>
      <c r="F350" t="str">
        <f>IF(ISBLANK(INDEX('Milestone Tracker – MENA'!$F:$F,95)),"",INDEX('Milestone Tracker – MENA'!$F:$F,95))</f>
        <v/>
      </c>
      <c r="G350" t="e">
        <f>IF(ISBLANK(INDEX('Milestone Tracker – MENA'!#REF!,95)),"",INDEX('Milestone Tracker – MENA'!#REF!,95))</f>
        <v>#REF!</v>
      </c>
      <c r="H350" t="str">
        <f>IF(ISBLANK(INDEX('Milestone Tracker – MENA'!$G:$G,95)),"",INDEX('Milestone Tracker – MENA'!$G:$G,95))</f>
        <v/>
      </c>
      <c r="I350" t="str">
        <f>IF(ISBLANK(INDEX('Milestone Tracker – MENA'!$H:$H,95)),"",INDEX('Milestone Tracker – MENA'!$H:$H,95))</f>
        <v/>
      </c>
      <c r="J350" t="e">
        <f>IF(ISBLANK(INDEX('Milestone Tracker – MENA'!#REF!,95)),"",INDEX('Milestone Tracker – MENA'!#REF!,95))</f>
        <v>#REF!</v>
      </c>
      <c r="K350">
        <f t="shared" si="10"/>
        <v>0</v>
      </c>
      <c r="L350">
        <f t="shared" si="11"/>
        <v>0</v>
      </c>
    </row>
    <row r="351" spans="1:12" x14ac:dyDescent="0.35">
      <c r="A351">
        <v>96</v>
      </c>
      <c r="B351">
        <f>IF(ISBLANK(INDEX('Milestone Tracker – MENA'!$B:$B,96)),B350,INDEX('Milestone Tracker – MENA'!$B:$B,96))</f>
        <v>0</v>
      </c>
      <c r="C351">
        <f>IF(ISBLANK(INDEX('Milestone Tracker – MENA'!$C:$C,96)),C350,INDEX('Milestone Tracker – MENA'!$C:$C,96))</f>
        <v>0</v>
      </c>
      <c r="D351">
        <f>IF(ISBLANK(INDEX('Milestone Tracker – MENA'!$D:$D,96)),D350,INDEX('Milestone Tracker – MENA'!$D:$D,96))</f>
        <v>0</v>
      </c>
      <c r="E351" t="str">
        <f>IF(ISBLANK(INDEX('Milestone Tracker – MENA'!$E:$E,96)),"",INDEX('Milestone Tracker – MENA'!$E:$E,96))</f>
        <v/>
      </c>
      <c r="F351" t="str">
        <f>IF(ISBLANK(INDEX('Milestone Tracker – MENA'!$F:$F,96)),"",INDEX('Milestone Tracker – MENA'!$F:$F,96))</f>
        <v/>
      </c>
      <c r="G351" t="e">
        <f>IF(ISBLANK(INDEX('Milestone Tracker – MENA'!#REF!,96)),"",INDEX('Milestone Tracker – MENA'!#REF!,96))</f>
        <v>#REF!</v>
      </c>
      <c r="H351" t="str">
        <f>IF(ISBLANK(INDEX('Milestone Tracker – MENA'!$G:$G,96)),"",INDEX('Milestone Tracker – MENA'!$G:$G,96))</f>
        <v/>
      </c>
      <c r="I351" t="str">
        <f>IF(ISBLANK(INDEX('Milestone Tracker – MENA'!$H:$H,96)),"",INDEX('Milestone Tracker – MENA'!$H:$H,96))</f>
        <v/>
      </c>
      <c r="J351" t="e">
        <f>IF(ISBLANK(INDEX('Milestone Tracker – MENA'!#REF!,96)),"",INDEX('Milestone Tracker – MENA'!#REF!,96))</f>
        <v>#REF!</v>
      </c>
      <c r="K351">
        <f t="shared" si="10"/>
        <v>0</v>
      </c>
      <c r="L351">
        <f t="shared" si="11"/>
        <v>0</v>
      </c>
    </row>
    <row r="352" spans="1:12" x14ac:dyDescent="0.35">
      <c r="A352">
        <v>97</v>
      </c>
      <c r="B352">
        <f>IF(ISBLANK(INDEX('Milestone Tracker – MENA'!$B:$B,97)),B351,INDEX('Milestone Tracker – MENA'!$B:$B,97))</f>
        <v>0</v>
      </c>
      <c r="C352">
        <f>IF(ISBLANK(INDEX('Milestone Tracker – MENA'!$C:$C,97)),C351,INDEX('Milestone Tracker – MENA'!$C:$C,97))</f>
        <v>0</v>
      </c>
      <c r="D352">
        <f>IF(ISBLANK(INDEX('Milestone Tracker – MENA'!$D:$D,97)),D351,INDEX('Milestone Tracker – MENA'!$D:$D,97))</f>
        <v>0</v>
      </c>
      <c r="E352" t="str">
        <f>IF(ISBLANK(INDEX('Milestone Tracker – MENA'!$E:$E,97)),"",INDEX('Milestone Tracker – MENA'!$E:$E,97))</f>
        <v/>
      </c>
      <c r="F352" t="str">
        <f>IF(ISBLANK(INDEX('Milestone Tracker – MENA'!$F:$F,97)),"",INDEX('Milestone Tracker – MENA'!$F:$F,97))</f>
        <v/>
      </c>
      <c r="G352" t="e">
        <f>IF(ISBLANK(INDEX('Milestone Tracker – MENA'!#REF!,97)),"",INDEX('Milestone Tracker – MENA'!#REF!,97))</f>
        <v>#REF!</v>
      </c>
      <c r="H352" t="str">
        <f>IF(ISBLANK(INDEX('Milestone Tracker – MENA'!$G:$G,97)),"",INDEX('Milestone Tracker – MENA'!$G:$G,97))</f>
        <v/>
      </c>
      <c r="I352" t="str">
        <f>IF(ISBLANK(INDEX('Milestone Tracker – MENA'!$H:$H,97)),"",INDEX('Milestone Tracker – MENA'!$H:$H,97))</f>
        <v/>
      </c>
      <c r="J352" t="e">
        <f>IF(ISBLANK(INDEX('Milestone Tracker – MENA'!#REF!,97)),"",INDEX('Milestone Tracker – MENA'!#REF!,97))</f>
        <v>#REF!</v>
      </c>
      <c r="K352">
        <f t="shared" si="10"/>
        <v>0</v>
      </c>
      <c r="L352">
        <f t="shared" si="11"/>
        <v>0</v>
      </c>
    </row>
    <row r="353" spans="1:12" x14ac:dyDescent="0.35">
      <c r="A353">
        <v>98</v>
      </c>
      <c r="B353">
        <f>IF(ISBLANK(INDEX('Milestone Tracker – MENA'!$B:$B,98)),B352,INDEX('Milestone Tracker – MENA'!$B:$B,98))</f>
        <v>0</v>
      </c>
      <c r="C353">
        <f>IF(ISBLANK(INDEX('Milestone Tracker – MENA'!$C:$C,98)),C352,INDEX('Milestone Tracker – MENA'!$C:$C,98))</f>
        <v>0</v>
      </c>
      <c r="D353">
        <f>IF(ISBLANK(INDEX('Milestone Tracker – MENA'!$D:$D,98)),D352,INDEX('Milestone Tracker – MENA'!$D:$D,98))</f>
        <v>0</v>
      </c>
      <c r="E353" t="str">
        <f>IF(ISBLANK(INDEX('Milestone Tracker – MENA'!$E:$E,98)),"",INDEX('Milestone Tracker – MENA'!$E:$E,98))</f>
        <v/>
      </c>
      <c r="F353" t="str">
        <f>IF(ISBLANK(INDEX('Milestone Tracker – MENA'!$F:$F,98)),"",INDEX('Milestone Tracker – MENA'!$F:$F,98))</f>
        <v/>
      </c>
      <c r="G353" t="e">
        <f>IF(ISBLANK(INDEX('Milestone Tracker – MENA'!#REF!,98)),"",INDEX('Milestone Tracker – MENA'!#REF!,98))</f>
        <v>#REF!</v>
      </c>
      <c r="H353" t="str">
        <f>IF(ISBLANK(INDEX('Milestone Tracker – MENA'!$G:$G,98)),"",INDEX('Milestone Tracker – MENA'!$G:$G,98))</f>
        <v/>
      </c>
      <c r="I353" t="str">
        <f>IF(ISBLANK(INDEX('Milestone Tracker – MENA'!$H:$H,98)),"",INDEX('Milestone Tracker – MENA'!$H:$H,98))</f>
        <v/>
      </c>
      <c r="J353" t="e">
        <f>IF(ISBLANK(INDEX('Milestone Tracker – MENA'!#REF!,98)),"",INDEX('Milestone Tracker – MENA'!#REF!,98))</f>
        <v>#REF!</v>
      </c>
      <c r="K353">
        <f t="shared" si="10"/>
        <v>0</v>
      </c>
      <c r="L353">
        <f t="shared" si="11"/>
        <v>0</v>
      </c>
    </row>
    <row r="354" spans="1:12" x14ac:dyDescent="0.35">
      <c r="A354">
        <v>99</v>
      </c>
      <c r="B354">
        <f>IF(ISBLANK(INDEX('Milestone Tracker – MENA'!$B:$B,99)),B353,INDEX('Milestone Tracker – MENA'!$B:$B,99))</f>
        <v>0</v>
      </c>
      <c r="C354">
        <f>IF(ISBLANK(INDEX('Milestone Tracker – MENA'!$C:$C,99)),C353,INDEX('Milestone Tracker – MENA'!$C:$C,99))</f>
        <v>0</v>
      </c>
      <c r="D354">
        <f>IF(ISBLANK(INDEX('Milestone Tracker – MENA'!$D:$D,99)),D353,INDEX('Milestone Tracker – MENA'!$D:$D,99))</f>
        <v>0</v>
      </c>
      <c r="E354" t="str">
        <f>IF(ISBLANK(INDEX('Milestone Tracker – MENA'!$E:$E,99)),"",INDEX('Milestone Tracker – MENA'!$E:$E,99))</f>
        <v/>
      </c>
      <c r="F354" t="str">
        <f>IF(ISBLANK(INDEX('Milestone Tracker – MENA'!$F:$F,99)),"",INDEX('Milestone Tracker – MENA'!$F:$F,99))</f>
        <v/>
      </c>
      <c r="G354" t="e">
        <f>IF(ISBLANK(INDEX('Milestone Tracker – MENA'!#REF!,99)),"",INDEX('Milestone Tracker – MENA'!#REF!,99))</f>
        <v>#REF!</v>
      </c>
      <c r="H354" t="str">
        <f>IF(ISBLANK(INDEX('Milestone Tracker – MENA'!$G:$G,99)),"",INDEX('Milestone Tracker – MENA'!$G:$G,99))</f>
        <v/>
      </c>
      <c r="I354" t="str">
        <f>IF(ISBLANK(INDEX('Milestone Tracker – MENA'!$H:$H,99)),"",INDEX('Milestone Tracker – MENA'!$H:$H,99))</f>
        <v/>
      </c>
      <c r="J354" t="e">
        <f>IF(ISBLANK(INDEX('Milestone Tracker – MENA'!#REF!,99)),"",INDEX('Milestone Tracker – MENA'!#REF!,99))</f>
        <v>#REF!</v>
      </c>
      <c r="K354">
        <f t="shared" si="10"/>
        <v>0</v>
      </c>
      <c r="L354">
        <f t="shared" si="11"/>
        <v>0</v>
      </c>
    </row>
    <row r="355" spans="1:12" x14ac:dyDescent="0.35">
      <c r="A355">
        <v>100</v>
      </c>
      <c r="B355">
        <f>IF(ISBLANK(INDEX('Milestone Tracker – MENA'!$B:$B,100)),B354,INDEX('Milestone Tracker – MENA'!$B:$B,100))</f>
        <v>0</v>
      </c>
      <c r="C355">
        <f>IF(ISBLANK(INDEX('Milestone Tracker – MENA'!$C:$C,100)),C354,INDEX('Milestone Tracker – MENA'!$C:$C,100))</f>
        <v>0</v>
      </c>
      <c r="D355">
        <f>IF(ISBLANK(INDEX('Milestone Tracker – MENA'!$D:$D,100)),D354,INDEX('Milestone Tracker – MENA'!$D:$D,100))</f>
        <v>0</v>
      </c>
      <c r="E355" t="str">
        <f>IF(ISBLANK(INDEX('Milestone Tracker – MENA'!$E:$E,100)),"",INDEX('Milestone Tracker – MENA'!$E:$E,100))</f>
        <v/>
      </c>
      <c r="F355" t="str">
        <f>IF(ISBLANK(INDEX('Milestone Tracker – MENA'!$F:$F,100)),"",INDEX('Milestone Tracker – MENA'!$F:$F,100))</f>
        <v/>
      </c>
      <c r="G355" t="e">
        <f>IF(ISBLANK(INDEX('Milestone Tracker – MENA'!#REF!,100)),"",INDEX('Milestone Tracker – MENA'!#REF!,100))</f>
        <v>#REF!</v>
      </c>
      <c r="H355" t="str">
        <f>IF(ISBLANK(INDEX('Milestone Tracker – MENA'!$G:$G,100)),"",INDEX('Milestone Tracker – MENA'!$G:$G,100))</f>
        <v/>
      </c>
      <c r="I355" t="str">
        <f>IF(ISBLANK(INDEX('Milestone Tracker – MENA'!$H:$H,100)),"",INDEX('Milestone Tracker – MENA'!$H:$H,100))</f>
        <v/>
      </c>
      <c r="J355" t="e">
        <f>IF(ISBLANK(INDEX('Milestone Tracker – MENA'!#REF!,100)),"",INDEX('Milestone Tracker – MENA'!#REF!,100))</f>
        <v>#REF!</v>
      </c>
      <c r="K355">
        <f t="shared" si="10"/>
        <v>0</v>
      </c>
      <c r="L355">
        <f t="shared" si="11"/>
        <v>0</v>
      </c>
    </row>
    <row r="356" spans="1:12" x14ac:dyDescent="0.35">
      <c r="A356">
        <v>101</v>
      </c>
      <c r="B356">
        <f>IF(ISBLANK(INDEX('Milestone Tracker – MENA'!$B:$B,101)),B355,INDEX('Milestone Tracker – MENA'!$B:$B,101))</f>
        <v>0</v>
      </c>
      <c r="C356">
        <f>IF(ISBLANK(INDEX('Milestone Tracker – MENA'!$C:$C,101)),C355,INDEX('Milestone Tracker – MENA'!$C:$C,101))</f>
        <v>0</v>
      </c>
      <c r="D356">
        <f>IF(ISBLANK(INDEX('Milestone Tracker – MENA'!$D:$D,101)),D355,INDEX('Milestone Tracker – MENA'!$D:$D,101))</f>
        <v>0</v>
      </c>
      <c r="E356" t="str">
        <f>IF(ISBLANK(INDEX('Milestone Tracker – MENA'!$E:$E,101)),"",INDEX('Milestone Tracker – MENA'!$E:$E,101))</f>
        <v/>
      </c>
      <c r="F356" t="str">
        <f>IF(ISBLANK(INDEX('Milestone Tracker – MENA'!$F:$F,101)),"",INDEX('Milestone Tracker – MENA'!$F:$F,101))</f>
        <v/>
      </c>
      <c r="G356" t="e">
        <f>IF(ISBLANK(INDEX('Milestone Tracker – MENA'!#REF!,101)),"",INDEX('Milestone Tracker – MENA'!#REF!,101))</f>
        <v>#REF!</v>
      </c>
      <c r="H356" t="str">
        <f>IF(ISBLANK(INDEX('Milestone Tracker – MENA'!$G:$G,101)),"",INDEX('Milestone Tracker – MENA'!$G:$G,101))</f>
        <v/>
      </c>
      <c r="I356" t="str">
        <f>IF(ISBLANK(INDEX('Milestone Tracker – MENA'!$H:$H,101)),"",INDEX('Milestone Tracker – MENA'!$H:$H,101))</f>
        <v/>
      </c>
      <c r="J356" t="e">
        <f>IF(ISBLANK(INDEX('Milestone Tracker – MENA'!#REF!,101)),"",INDEX('Milestone Tracker – MENA'!#REF!,101))</f>
        <v>#REF!</v>
      </c>
      <c r="K356">
        <f t="shared" si="10"/>
        <v>0</v>
      </c>
      <c r="L356">
        <f t="shared" si="11"/>
        <v>0</v>
      </c>
    </row>
    <row r="357" spans="1:12" x14ac:dyDescent="0.35">
      <c r="A357">
        <v>102</v>
      </c>
      <c r="B357">
        <f>IF(ISBLANK(INDEX('Milestone Tracker – MENA'!$B:$B,102)),B356,INDEX('Milestone Tracker – MENA'!$B:$B,102))</f>
        <v>0</v>
      </c>
      <c r="C357">
        <f>IF(ISBLANK(INDEX('Milestone Tracker – MENA'!$C:$C,102)),C356,INDEX('Milestone Tracker – MENA'!$C:$C,102))</f>
        <v>0</v>
      </c>
      <c r="D357">
        <f>IF(ISBLANK(INDEX('Milestone Tracker – MENA'!$D:$D,102)),D356,INDEX('Milestone Tracker – MENA'!$D:$D,102))</f>
        <v>0</v>
      </c>
      <c r="E357" t="str">
        <f>IF(ISBLANK(INDEX('Milestone Tracker – MENA'!$E:$E,102)),"",INDEX('Milestone Tracker – MENA'!$E:$E,102))</f>
        <v/>
      </c>
      <c r="F357" t="str">
        <f>IF(ISBLANK(INDEX('Milestone Tracker – MENA'!$F:$F,102)),"",INDEX('Milestone Tracker – MENA'!$F:$F,102))</f>
        <v/>
      </c>
      <c r="G357" t="e">
        <f>IF(ISBLANK(INDEX('Milestone Tracker – MENA'!#REF!,102)),"",INDEX('Milestone Tracker – MENA'!#REF!,102))</f>
        <v>#REF!</v>
      </c>
      <c r="H357" t="str">
        <f>IF(ISBLANK(INDEX('Milestone Tracker – MENA'!$G:$G,102)),"",INDEX('Milestone Tracker – MENA'!$G:$G,102))</f>
        <v/>
      </c>
      <c r="I357" t="str">
        <f>IF(ISBLANK(INDEX('Milestone Tracker – MENA'!$H:$H,102)),"",INDEX('Milestone Tracker – MENA'!$H:$H,102))</f>
        <v/>
      </c>
      <c r="J357" t="e">
        <f>IF(ISBLANK(INDEX('Milestone Tracker – MENA'!#REF!,102)),"",INDEX('Milestone Tracker – MENA'!#REF!,102))</f>
        <v>#REF!</v>
      </c>
      <c r="K357">
        <f t="shared" si="10"/>
        <v>0</v>
      </c>
      <c r="L357">
        <f t="shared" si="11"/>
        <v>0</v>
      </c>
    </row>
    <row r="358" spans="1:12" x14ac:dyDescent="0.35">
      <c r="A358">
        <v>103</v>
      </c>
      <c r="B358">
        <f>IF(ISBLANK(INDEX('Milestone Tracker – MENA'!$B:$B,103)),B357,INDEX('Milestone Tracker – MENA'!$B:$B,103))</f>
        <v>0</v>
      </c>
      <c r="C358">
        <f>IF(ISBLANK(INDEX('Milestone Tracker – MENA'!$C:$C,103)),C357,INDEX('Milestone Tracker – MENA'!$C:$C,103))</f>
        <v>0</v>
      </c>
      <c r="D358">
        <f>IF(ISBLANK(INDEX('Milestone Tracker – MENA'!$D:$D,103)),D357,INDEX('Milestone Tracker – MENA'!$D:$D,103))</f>
        <v>0</v>
      </c>
      <c r="E358" t="str">
        <f>IF(ISBLANK(INDEX('Milestone Tracker – MENA'!$E:$E,103)),"",INDEX('Milestone Tracker – MENA'!$E:$E,103))</f>
        <v/>
      </c>
      <c r="F358" t="str">
        <f>IF(ISBLANK(INDEX('Milestone Tracker – MENA'!$F:$F,103)),"",INDEX('Milestone Tracker – MENA'!$F:$F,103))</f>
        <v/>
      </c>
      <c r="G358" t="e">
        <f>IF(ISBLANK(INDEX('Milestone Tracker – MENA'!#REF!,103)),"",INDEX('Milestone Tracker – MENA'!#REF!,103))</f>
        <v>#REF!</v>
      </c>
      <c r="H358" t="str">
        <f>IF(ISBLANK(INDEX('Milestone Tracker – MENA'!$G:$G,103)),"",INDEX('Milestone Tracker – MENA'!$G:$G,103))</f>
        <v/>
      </c>
      <c r="I358" t="str">
        <f>IF(ISBLANK(INDEX('Milestone Tracker – MENA'!$H:$H,103)),"",INDEX('Milestone Tracker – MENA'!$H:$H,103))</f>
        <v/>
      </c>
      <c r="J358" t="e">
        <f>IF(ISBLANK(INDEX('Milestone Tracker – MENA'!#REF!,103)),"",INDEX('Milestone Tracker – MENA'!#REF!,103))</f>
        <v>#REF!</v>
      </c>
      <c r="K358">
        <f t="shared" si="10"/>
        <v>0</v>
      </c>
      <c r="L358">
        <f t="shared" si="11"/>
        <v>0</v>
      </c>
    </row>
    <row r="359" spans="1:12" x14ac:dyDescent="0.35">
      <c r="A359">
        <v>104</v>
      </c>
      <c r="B359">
        <f>IF(ISBLANK(INDEX('Milestone Tracker – MENA'!$B:$B,104)),B358,INDEX('Milestone Tracker – MENA'!$B:$B,104))</f>
        <v>0</v>
      </c>
      <c r="C359">
        <f>IF(ISBLANK(INDEX('Milestone Tracker – MENA'!$C:$C,104)),C358,INDEX('Milestone Tracker – MENA'!$C:$C,104))</f>
        <v>0</v>
      </c>
      <c r="D359">
        <f>IF(ISBLANK(INDEX('Milestone Tracker – MENA'!$D:$D,104)),D358,INDEX('Milestone Tracker – MENA'!$D:$D,104))</f>
        <v>0</v>
      </c>
      <c r="E359" t="str">
        <f>IF(ISBLANK(INDEX('Milestone Tracker – MENA'!$E:$E,104)),"",INDEX('Milestone Tracker – MENA'!$E:$E,104))</f>
        <v/>
      </c>
      <c r="F359" t="str">
        <f>IF(ISBLANK(INDEX('Milestone Tracker – MENA'!$F:$F,104)),"",INDEX('Milestone Tracker – MENA'!$F:$F,104))</f>
        <v/>
      </c>
      <c r="G359" t="e">
        <f>IF(ISBLANK(INDEX('Milestone Tracker – MENA'!#REF!,104)),"",INDEX('Milestone Tracker – MENA'!#REF!,104))</f>
        <v>#REF!</v>
      </c>
      <c r="H359" t="str">
        <f>IF(ISBLANK(INDEX('Milestone Tracker – MENA'!$G:$G,104)),"",INDEX('Milestone Tracker – MENA'!$G:$G,104))</f>
        <v/>
      </c>
      <c r="I359" t="str">
        <f>IF(ISBLANK(INDEX('Milestone Tracker – MENA'!$H:$H,104)),"",INDEX('Milestone Tracker – MENA'!$H:$H,104))</f>
        <v/>
      </c>
      <c r="J359" t="e">
        <f>IF(ISBLANK(INDEX('Milestone Tracker – MENA'!#REF!,104)),"",INDEX('Milestone Tracker – MENA'!#REF!,104))</f>
        <v>#REF!</v>
      </c>
      <c r="K359">
        <f t="shared" si="10"/>
        <v>0</v>
      </c>
      <c r="L359">
        <f t="shared" si="11"/>
        <v>0</v>
      </c>
    </row>
    <row r="360" spans="1:12" x14ac:dyDescent="0.35">
      <c r="A360">
        <v>105</v>
      </c>
      <c r="B360">
        <f>IF(ISBLANK(INDEX('Milestone Tracker – MENA'!$B:$B,105)),B359,INDEX('Milestone Tracker – MENA'!$B:$B,105))</f>
        <v>0</v>
      </c>
      <c r="C360">
        <f>IF(ISBLANK(INDEX('Milestone Tracker – MENA'!$C:$C,105)),C359,INDEX('Milestone Tracker – MENA'!$C:$C,105))</f>
        <v>0</v>
      </c>
      <c r="D360">
        <f>IF(ISBLANK(INDEX('Milestone Tracker – MENA'!$D:$D,105)),D359,INDEX('Milestone Tracker – MENA'!$D:$D,105))</f>
        <v>0</v>
      </c>
      <c r="E360" t="str">
        <f>IF(ISBLANK(INDEX('Milestone Tracker – MENA'!$E:$E,105)),"",INDEX('Milestone Tracker – MENA'!$E:$E,105))</f>
        <v/>
      </c>
      <c r="F360" t="str">
        <f>IF(ISBLANK(INDEX('Milestone Tracker – MENA'!$F:$F,105)),"",INDEX('Milestone Tracker – MENA'!$F:$F,105))</f>
        <v/>
      </c>
      <c r="G360" t="e">
        <f>IF(ISBLANK(INDEX('Milestone Tracker – MENA'!#REF!,105)),"",INDEX('Milestone Tracker – MENA'!#REF!,105))</f>
        <v>#REF!</v>
      </c>
      <c r="H360" t="str">
        <f>IF(ISBLANK(INDEX('Milestone Tracker – MENA'!$G:$G,105)),"",INDEX('Milestone Tracker – MENA'!$G:$G,105))</f>
        <v/>
      </c>
      <c r="I360" t="str">
        <f>IF(ISBLANK(INDEX('Milestone Tracker – MENA'!$H:$H,105)),"",INDEX('Milestone Tracker – MENA'!$H:$H,105))</f>
        <v/>
      </c>
      <c r="J360" t="e">
        <f>IF(ISBLANK(INDEX('Milestone Tracker – MENA'!#REF!,105)),"",INDEX('Milestone Tracker – MENA'!#REF!,105))</f>
        <v>#REF!</v>
      </c>
      <c r="K360">
        <f t="shared" si="10"/>
        <v>0</v>
      </c>
      <c r="L360">
        <f t="shared" si="11"/>
        <v>0</v>
      </c>
    </row>
    <row r="361" spans="1:12" x14ac:dyDescent="0.35">
      <c r="A361">
        <v>106</v>
      </c>
      <c r="B361">
        <f>IF(ISBLANK(INDEX('Milestone Tracker – MENA'!$B:$B,106)),B360,INDEX('Milestone Tracker – MENA'!$B:$B,106))</f>
        <v>0</v>
      </c>
      <c r="C361">
        <f>IF(ISBLANK(INDEX('Milestone Tracker – MENA'!$C:$C,106)),C360,INDEX('Milestone Tracker – MENA'!$C:$C,106))</f>
        <v>0</v>
      </c>
      <c r="D361">
        <f>IF(ISBLANK(INDEX('Milestone Tracker – MENA'!$D:$D,106)),D360,INDEX('Milestone Tracker – MENA'!$D:$D,106))</f>
        <v>0</v>
      </c>
      <c r="E361" t="str">
        <f>IF(ISBLANK(INDEX('Milestone Tracker – MENA'!$E:$E,106)),"",INDEX('Milestone Tracker – MENA'!$E:$E,106))</f>
        <v/>
      </c>
      <c r="F361" t="str">
        <f>IF(ISBLANK(INDEX('Milestone Tracker – MENA'!$F:$F,106)),"",INDEX('Milestone Tracker – MENA'!$F:$F,106))</f>
        <v/>
      </c>
      <c r="G361" t="e">
        <f>IF(ISBLANK(INDEX('Milestone Tracker – MENA'!#REF!,106)),"",INDEX('Milestone Tracker – MENA'!#REF!,106))</f>
        <v>#REF!</v>
      </c>
      <c r="H361" t="str">
        <f>IF(ISBLANK(INDEX('Milestone Tracker – MENA'!$G:$G,106)),"",INDEX('Milestone Tracker – MENA'!$G:$G,106))</f>
        <v/>
      </c>
      <c r="I361" t="str">
        <f>IF(ISBLANK(INDEX('Milestone Tracker – MENA'!$H:$H,106)),"",INDEX('Milestone Tracker – MENA'!$H:$H,106))</f>
        <v/>
      </c>
      <c r="J361" t="e">
        <f>IF(ISBLANK(INDEX('Milestone Tracker – MENA'!#REF!,106)),"",INDEX('Milestone Tracker – MENA'!#REF!,106))</f>
        <v>#REF!</v>
      </c>
      <c r="K361">
        <f t="shared" si="10"/>
        <v>0</v>
      </c>
      <c r="L361">
        <f t="shared" si="11"/>
        <v>0</v>
      </c>
    </row>
    <row r="362" spans="1:12" x14ac:dyDescent="0.35">
      <c r="A362">
        <v>107</v>
      </c>
      <c r="B362">
        <f>IF(ISBLANK(INDEX('Milestone Tracker – MENA'!$B:$B,107)),B361,INDEX('Milestone Tracker – MENA'!$B:$B,107))</f>
        <v>0</v>
      </c>
      <c r="C362">
        <f>IF(ISBLANK(INDEX('Milestone Tracker – MENA'!$C:$C,107)),C361,INDEX('Milestone Tracker – MENA'!$C:$C,107))</f>
        <v>0</v>
      </c>
      <c r="D362">
        <f>IF(ISBLANK(INDEX('Milestone Tracker – MENA'!$D:$D,107)),D361,INDEX('Milestone Tracker – MENA'!$D:$D,107))</f>
        <v>0</v>
      </c>
      <c r="E362" t="str">
        <f>IF(ISBLANK(INDEX('Milestone Tracker – MENA'!$E:$E,107)),"",INDEX('Milestone Tracker – MENA'!$E:$E,107))</f>
        <v/>
      </c>
      <c r="F362" t="str">
        <f>IF(ISBLANK(INDEX('Milestone Tracker – MENA'!$F:$F,107)),"",INDEX('Milestone Tracker – MENA'!$F:$F,107))</f>
        <v/>
      </c>
      <c r="G362" t="e">
        <f>IF(ISBLANK(INDEX('Milestone Tracker – MENA'!#REF!,107)),"",INDEX('Milestone Tracker – MENA'!#REF!,107))</f>
        <v>#REF!</v>
      </c>
      <c r="H362" t="str">
        <f>IF(ISBLANK(INDEX('Milestone Tracker – MENA'!$G:$G,107)),"",INDEX('Milestone Tracker – MENA'!$G:$G,107))</f>
        <v/>
      </c>
      <c r="I362" t="str">
        <f>IF(ISBLANK(INDEX('Milestone Tracker – MENA'!$H:$H,107)),"",INDEX('Milestone Tracker – MENA'!$H:$H,107))</f>
        <v/>
      </c>
      <c r="J362" t="e">
        <f>IF(ISBLANK(INDEX('Milestone Tracker – MENA'!#REF!,107)),"",INDEX('Milestone Tracker – MENA'!#REF!,107))</f>
        <v>#REF!</v>
      </c>
      <c r="K362">
        <f t="shared" si="10"/>
        <v>0</v>
      </c>
      <c r="L362">
        <f t="shared" si="11"/>
        <v>0</v>
      </c>
    </row>
    <row r="363" spans="1:12" x14ac:dyDescent="0.35">
      <c r="A363">
        <v>108</v>
      </c>
      <c r="B363">
        <f>IF(ISBLANK(INDEX('Milestone Tracker – MENA'!$B:$B,108)),B362,INDEX('Milestone Tracker – MENA'!$B:$B,108))</f>
        <v>0</v>
      </c>
      <c r="C363">
        <f>IF(ISBLANK(INDEX('Milestone Tracker – MENA'!$C:$C,108)),C362,INDEX('Milestone Tracker – MENA'!$C:$C,108))</f>
        <v>0</v>
      </c>
      <c r="D363">
        <f>IF(ISBLANK(INDEX('Milestone Tracker – MENA'!$D:$D,108)),D362,INDEX('Milestone Tracker – MENA'!$D:$D,108))</f>
        <v>0</v>
      </c>
      <c r="E363" t="str">
        <f>IF(ISBLANK(INDEX('Milestone Tracker – MENA'!$E:$E,108)),"",INDEX('Milestone Tracker – MENA'!$E:$E,108))</f>
        <v/>
      </c>
      <c r="F363" t="str">
        <f>IF(ISBLANK(INDEX('Milestone Tracker – MENA'!$F:$F,108)),"",INDEX('Milestone Tracker – MENA'!$F:$F,108))</f>
        <v/>
      </c>
      <c r="G363" t="e">
        <f>IF(ISBLANK(INDEX('Milestone Tracker – MENA'!#REF!,108)),"",INDEX('Milestone Tracker – MENA'!#REF!,108))</f>
        <v>#REF!</v>
      </c>
      <c r="H363" t="str">
        <f>IF(ISBLANK(INDEX('Milestone Tracker – MENA'!$G:$G,108)),"",INDEX('Milestone Tracker – MENA'!$G:$G,108))</f>
        <v/>
      </c>
      <c r="I363" t="str">
        <f>IF(ISBLANK(INDEX('Milestone Tracker – MENA'!$H:$H,108)),"",INDEX('Milestone Tracker – MENA'!$H:$H,108))</f>
        <v/>
      </c>
      <c r="J363" t="e">
        <f>IF(ISBLANK(INDEX('Milestone Tracker – MENA'!#REF!,108)),"",INDEX('Milestone Tracker – MENA'!#REF!,108))</f>
        <v>#REF!</v>
      </c>
      <c r="K363">
        <f t="shared" si="10"/>
        <v>0</v>
      </c>
      <c r="L363">
        <f t="shared" si="11"/>
        <v>0</v>
      </c>
    </row>
    <row r="364" spans="1:12" x14ac:dyDescent="0.35">
      <c r="A364">
        <v>109</v>
      </c>
      <c r="B364">
        <f>IF(ISBLANK(INDEX('Milestone Tracker – MENA'!$B:$B,109)),B363,INDEX('Milestone Tracker – MENA'!$B:$B,109))</f>
        <v>0</v>
      </c>
      <c r="C364">
        <f>IF(ISBLANK(INDEX('Milestone Tracker – MENA'!$C:$C,109)),C363,INDEX('Milestone Tracker – MENA'!$C:$C,109))</f>
        <v>0</v>
      </c>
      <c r="D364">
        <f>IF(ISBLANK(INDEX('Milestone Tracker – MENA'!$D:$D,109)),D363,INDEX('Milestone Tracker – MENA'!$D:$D,109))</f>
        <v>0</v>
      </c>
      <c r="E364" t="str">
        <f>IF(ISBLANK(INDEX('Milestone Tracker – MENA'!$E:$E,109)),"",INDEX('Milestone Tracker – MENA'!$E:$E,109))</f>
        <v/>
      </c>
      <c r="F364" t="str">
        <f>IF(ISBLANK(INDEX('Milestone Tracker – MENA'!$F:$F,109)),"",INDEX('Milestone Tracker – MENA'!$F:$F,109))</f>
        <v/>
      </c>
      <c r="G364" t="e">
        <f>IF(ISBLANK(INDEX('Milestone Tracker – MENA'!#REF!,109)),"",INDEX('Milestone Tracker – MENA'!#REF!,109))</f>
        <v>#REF!</v>
      </c>
      <c r="H364" t="str">
        <f>IF(ISBLANK(INDEX('Milestone Tracker – MENA'!$G:$G,109)),"",INDEX('Milestone Tracker – MENA'!$G:$G,109))</f>
        <v/>
      </c>
      <c r="I364" t="str">
        <f>IF(ISBLANK(INDEX('Milestone Tracker – MENA'!$H:$H,109)),"",INDEX('Milestone Tracker – MENA'!$H:$H,109))</f>
        <v/>
      </c>
      <c r="J364" t="e">
        <f>IF(ISBLANK(INDEX('Milestone Tracker – MENA'!#REF!,109)),"",INDEX('Milestone Tracker – MENA'!#REF!,109))</f>
        <v>#REF!</v>
      </c>
      <c r="K364">
        <f t="shared" si="10"/>
        <v>0</v>
      </c>
      <c r="L364">
        <f t="shared" si="11"/>
        <v>0</v>
      </c>
    </row>
    <row r="365" spans="1:12" x14ac:dyDescent="0.35">
      <c r="A365">
        <v>110</v>
      </c>
      <c r="B365">
        <f>IF(ISBLANK(INDEX('Milestone Tracker – MENA'!$B:$B,110)),B364,INDEX('Milestone Tracker – MENA'!$B:$B,110))</f>
        <v>0</v>
      </c>
      <c r="C365">
        <f>IF(ISBLANK(INDEX('Milestone Tracker – MENA'!$C:$C,110)),C364,INDEX('Milestone Tracker – MENA'!$C:$C,110))</f>
        <v>0</v>
      </c>
      <c r="D365">
        <f>IF(ISBLANK(INDEX('Milestone Tracker – MENA'!$D:$D,110)),D364,INDEX('Milestone Tracker – MENA'!$D:$D,110))</f>
        <v>0</v>
      </c>
      <c r="E365" t="str">
        <f>IF(ISBLANK(INDEX('Milestone Tracker – MENA'!$E:$E,110)),"",INDEX('Milestone Tracker – MENA'!$E:$E,110))</f>
        <v/>
      </c>
      <c r="F365" t="str">
        <f>IF(ISBLANK(INDEX('Milestone Tracker – MENA'!$F:$F,110)),"",INDEX('Milestone Tracker – MENA'!$F:$F,110))</f>
        <v/>
      </c>
      <c r="G365" t="e">
        <f>IF(ISBLANK(INDEX('Milestone Tracker – MENA'!#REF!,110)),"",INDEX('Milestone Tracker – MENA'!#REF!,110))</f>
        <v>#REF!</v>
      </c>
      <c r="H365" t="str">
        <f>IF(ISBLANK(INDEX('Milestone Tracker – MENA'!$G:$G,110)),"",INDEX('Milestone Tracker – MENA'!$G:$G,110))</f>
        <v/>
      </c>
      <c r="I365" t="str">
        <f>IF(ISBLANK(INDEX('Milestone Tracker – MENA'!$H:$H,110)),"",INDEX('Milestone Tracker – MENA'!$H:$H,110))</f>
        <v/>
      </c>
      <c r="J365" t="e">
        <f>IF(ISBLANK(INDEX('Milestone Tracker – MENA'!#REF!,110)),"",INDEX('Milestone Tracker – MENA'!#REF!,110))</f>
        <v>#REF!</v>
      </c>
      <c r="K365">
        <f t="shared" si="10"/>
        <v>0</v>
      </c>
      <c r="L365">
        <f t="shared" si="11"/>
        <v>0</v>
      </c>
    </row>
    <row r="366" spans="1:12" x14ac:dyDescent="0.35">
      <c r="A366">
        <v>111</v>
      </c>
      <c r="B366">
        <f>IF(ISBLANK(INDEX('Milestone Tracker – MENA'!$B:$B,111)),B365,INDEX('Milestone Tracker – MENA'!$B:$B,111))</f>
        <v>0</v>
      </c>
      <c r="C366">
        <f>IF(ISBLANK(INDEX('Milestone Tracker – MENA'!$C:$C,111)),C365,INDEX('Milestone Tracker – MENA'!$C:$C,111))</f>
        <v>0</v>
      </c>
      <c r="D366">
        <f>IF(ISBLANK(INDEX('Milestone Tracker – MENA'!$D:$D,111)),D365,INDEX('Milestone Tracker – MENA'!$D:$D,111))</f>
        <v>0</v>
      </c>
      <c r="E366" t="str">
        <f>IF(ISBLANK(INDEX('Milestone Tracker – MENA'!$E:$E,111)),"",INDEX('Milestone Tracker – MENA'!$E:$E,111))</f>
        <v/>
      </c>
      <c r="F366" t="str">
        <f>IF(ISBLANK(INDEX('Milestone Tracker – MENA'!$F:$F,111)),"",INDEX('Milestone Tracker – MENA'!$F:$F,111))</f>
        <v/>
      </c>
      <c r="G366" t="e">
        <f>IF(ISBLANK(INDEX('Milestone Tracker – MENA'!#REF!,111)),"",INDEX('Milestone Tracker – MENA'!#REF!,111))</f>
        <v>#REF!</v>
      </c>
      <c r="H366" t="str">
        <f>IF(ISBLANK(INDEX('Milestone Tracker – MENA'!$G:$G,111)),"",INDEX('Milestone Tracker – MENA'!$G:$G,111))</f>
        <v/>
      </c>
      <c r="I366" t="str">
        <f>IF(ISBLANK(INDEX('Milestone Tracker – MENA'!$H:$H,111)),"",INDEX('Milestone Tracker – MENA'!$H:$H,111))</f>
        <v/>
      </c>
      <c r="J366" t="e">
        <f>IF(ISBLANK(INDEX('Milestone Tracker – MENA'!#REF!,111)),"",INDEX('Milestone Tracker – MENA'!#REF!,111))</f>
        <v>#REF!</v>
      </c>
      <c r="K366">
        <f t="shared" si="10"/>
        <v>0</v>
      </c>
      <c r="L366">
        <f t="shared" si="11"/>
        <v>0</v>
      </c>
    </row>
    <row r="367" spans="1:12" x14ac:dyDescent="0.35">
      <c r="A367">
        <v>112</v>
      </c>
      <c r="B367">
        <f>IF(ISBLANK(INDEX('Milestone Tracker – MENA'!$B:$B,112)),B366,INDEX('Milestone Tracker – MENA'!$B:$B,112))</f>
        <v>0</v>
      </c>
      <c r="C367">
        <f>IF(ISBLANK(INDEX('Milestone Tracker – MENA'!$C:$C,112)),C366,INDEX('Milestone Tracker – MENA'!$C:$C,112))</f>
        <v>0</v>
      </c>
      <c r="D367">
        <f>IF(ISBLANK(INDEX('Milestone Tracker – MENA'!$D:$D,112)),D366,INDEX('Milestone Tracker – MENA'!$D:$D,112))</f>
        <v>0</v>
      </c>
      <c r="E367" t="str">
        <f>IF(ISBLANK(INDEX('Milestone Tracker – MENA'!$E:$E,112)),"",INDEX('Milestone Tracker – MENA'!$E:$E,112))</f>
        <v/>
      </c>
      <c r="F367" t="str">
        <f>IF(ISBLANK(INDEX('Milestone Tracker – MENA'!$F:$F,112)),"",INDEX('Milestone Tracker – MENA'!$F:$F,112))</f>
        <v/>
      </c>
      <c r="G367" t="e">
        <f>IF(ISBLANK(INDEX('Milestone Tracker – MENA'!#REF!,112)),"",INDEX('Milestone Tracker – MENA'!#REF!,112))</f>
        <v>#REF!</v>
      </c>
      <c r="H367" t="str">
        <f>IF(ISBLANK(INDEX('Milestone Tracker – MENA'!$G:$G,112)),"",INDEX('Milestone Tracker – MENA'!$G:$G,112))</f>
        <v/>
      </c>
      <c r="I367" t="str">
        <f>IF(ISBLANK(INDEX('Milestone Tracker – MENA'!$H:$H,112)),"",INDEX('Milestone Tracker – MENA'!$H:$H,112))</f>
        <v/>
      </c>
      <c r="J367" t="e">
        <f>IF(ISBLANK(INDEX('Milestone Tracker – MENA'!#REF!,112)),"",INDEX('Milestone Tracker – MENA'!#REF!,112))</f>
        <v>#REF!</v>
      </c>
      <c r="K367">
        <f t="shared" si="10"/>
        <v>0</v>
      </c>
      <c r="L367">
        <f t="shared" si="11"/>
        <v>0</v>
      </c>
    </row>
    <row r="368" spans="1:12" x14ac:dyDescent="0.35">
      <c r="A368">
        <v>113</v>
      </c>
      <c r="B368">
        <f>IF(ISBLANK(INDEX('Milestone Tracker – MENA'!$B:$B,113)),B367,INDEX('Milestone Tracker – MENA'!$B:$B,113))</f>
        <v>0</v>
      </c>
      <c r="C368">
        <f>IF(ISBLANK(INDEX('Milestone Tracker – MENA'!$C:$C,113)),C367,INDEX('Milestone Tracker – MENA'!$C:$C,113))</f>
        <v>0</v>
      </c>
      <c r="D368">
        <f>IF(ISBLANK(INDEX('Milestone Tracker – MENA'!$D:$D,113)),D367,INDEX('Milestone Tracker – MENA'!$D:$D,113))</f>
        <v>0</v>
      </c>
      <c r="E368" t="str">
        <f>IF(ISBLANK(INDEX('Milestone Tracker – MENA'!$E:$E,113)),"",INDEX('Milestone Tracker – MENA'!$E:$E,113))</f>
        <v/>
      </c>
      <c r="F368" t="str">
        <f>IF(ISBLANK(INDEX('Milestone Tracker – MENA'!$F:$F,113)),"",INDEX('Milestone Tracker – MENA'!$F:$F,113))</f>
        <v/>
      </c>
      <c r="G368" t="e">
        <f>IF(ISBLANK(INDEX('Milestone Tracker – MENA'!#REF!,113)),"",INDEX('Milestone Tracker – MENA'!#REF!,113))</f>
        <v>#REF!</v>
      </c>
      <c r="H368" t="str">
        <f>IF(ISBLANK(INDEX('Milestone Tracker – MENA'!$G:$G,113)),"",INDEX('Milestone Tracker – MENA'!$G:$G,113))</f>
        <v/>
      </c>
      <c r="I368" t="str">
        <f>IF(ISBLANK(INDEX('Milestone Tracker – MENA'!$H:$H,113)),"",INDEX('Milestone Tracker – MENA'!$H:$H,113))</f>
        <v/>
      </c>
      <c r="J368" t="e">
        <f>IF(ISBLANK(INDEX('Milestone Tracker – MENA'!#REF!,113)),"",INDEX('Milestone Tracker – MENA'!#REF!,113))</f>
        <v>#REF!</v>
      </c>
      <c r="K368">
        <f t="shared" si="10"/>
        <v>0</v>
      </c>
      <c r="L368">
        <f t="shared" si="11"/>
        <v>0</v>
      </c>
    </row>
    <row r="369" spans="1:12" x14ac:dyDescent="0.35">
      <c r="A369">
        <v>114</v>
      </c>
      <c r="B369">
        <f>IF(ISBLANK(INDEX('Milestone Tracker – MENA'!$B:$B,114)),B368,INDEX('Milestone Tracker – MENA'!$B:$B,114))</f>
        <v>0</v>
      </c>
      <c r="C369">
        <f>IF(ISBLANK(INDEX('Milestone Tracker – MENA'!$C:$C,114)),C368,INDEX('Milestone Tracker – MENA'!$C:$C,114))</f>
        <v>0</v>
      </c>
      <c r="D369">
        <f>IF(ISBLANK(INDEX('Milestone Tracker – MENA'!$D:$D,114)),D368,INDEX('Milestone Tracker – MENA'!$D:$D,114))</f>
        <v>0</v>
      </c>
      <c r="E369" t="str">
        <f>IF(ISBLANK(INDEX('Milestone Tracker – MENA'!$E:$E,114)),"",INDEX('Milestone Tracker – MENA'!$E:$E,114))</f>
        <v/>
      </c>
      <c r="F369" t="str">
        <f>IF(ISBLANK(INDEX('Milestone Tracker – MENA'!$F:$F,114)),"",INDEX('Milestone Tracker – MENA'!$F:$F,114))</f>
        <v/>
      </c>
      <c r="G369" t="e">
        <f>IF(ISBLANK(INDEX('Milestone Tracker – MENA'!#REF!,114)),"",INDEX('Milestone Tracker – MENA'!#REF!,114))</f>
        <v>#REF!</v>
      </c>
      <c r="H369" t="str">
        <f>IF(ISBLANK(INDEX('Milestone Tracker – MENA'!$G:$G,114)),"",INDEX('Milestone Tracker – MENA'!$G:$G,114))</f>
        <v/>
      </c>
      <c r="I369" t="str">
        <f>IF(ISBLANK(INDEX('Milestone Tracker – MENA'!$H:$H,114)),"",INDEX('Milestone Tracker – MENA'!$H:$H,114))</f>
        <v/>
      </c>
      <c r="J369" t="e">
        <f>IF(ISBLANK(INDEX('Milestone Tracker – MENA'!#REF!,114)),"",INDEX('Milestone Tracker – MENA'!#REF!,114))</f>
        <v>#REF!</v>
      </c>
      <c r="K369">
        <f t="shared" si="10"/>
        <v>0</v>
      </c>
      <c r="L369">
        <f t="shared" si="11"/>
        <v>0</v>
      </c>
    </row>
    <row r="370" spans="1:12" x14ac:dyDescent="0.35">
      <c r="A370">
        <v>115</v>
      </c>
      <c r="B370">
        <f>IF(ISBLANK(INDEX('Milestone Tracker – MENA'!$B:$B,115)),B369,INDEX('Milestone Tracker – MENA'!$B:$B,115))</f>
        <v>0</v>
      </c>
      <c r="C370">
        <f>IF(ISBLANK(INDEX('Milestone Tracker – MENA'!$C:$C,115)),C369,INDEX('Milestone Tracker – MENA'!$C:$C,115))</f>
        <v>0</v>
      </c>
      <c r="D370">
        <f>IF(ISBLANK(INDEX('Milestone Tracker – MENA'!$D:$D,115)),D369,INDEX('Milestone Tracker – MENA'!$D:$D,115))</f>
        <v>0</v>
      </c>
      <c r="E370" t="str">
        <f>IF(ISBLANK(INDEX('Milestone Tracker – MENA'!$E:$E,115)),"",INDEX('Milestone Tracker – MENA'!$E:$E,115))</f>
        <v/>
      </c>
      <c r="F370" t="str">
        <f>IF(ISBLANK(INDEX('Milestone Tracker – MENA'!$F:$F,115)),"",INDEX('Milestone Tracker – MENA'!$F:$F,115))</f>
        <v/>
      </c>
      <c r="G370" t="e">
        <f>IF(ISBLANK(INDEX('Milestone Tracker – MENA'!#REF!,115)),"",INDEX('Milestone Tracker – MENA'!#REF!,115))</f>
        <v>#REF!</v>
      </c>
      <c r="H370" t="str">
        <f>IF(ISBLANK(INDEX('Milestone Tracker – MENA'!$G:$G,115)),"",INDEX('Milestone Tracker – MENA'!$G:$G,115))</f>
        <v/>
      </c>
      <c r="I370" t="str">
        <f>IF(ISBLANK(INDEX('Milestone Tracker – MENA'!$H:$H,115)),"",INDEX('Milestone Tracker – MENA'!$H:$H,115))</f>
        <v/>
      </c>
      <c r="J370" t="e">
        <f>IF(ISBLANK(INDEX('Milestone Tracker – MENA'!#REF!,115)),"",INDEX('Milestone Tracker – MENA'!#REF!,115))</f>
        <v>#REF!</v>
      </c>
      <c r="K370">
        <f t="shared" si="10"/>
        <v>0</v>
      </c>
      <c r="L370">
        <f t="shared" si="11"/>
        <v>0</v>
      </c>
    </row>
    <row r="371" spans="1:12" x14ac:dyDescent="0.35">
      <c r="A371">
        <v>116</v>
      </c>
      <c r="B371">
        <f>IF(ISBLANK(INDEX('Milestone Tracker – MENA'!$B:$B,116)),B370,INDEX('Milestone Tracker – MENA'!$B:$B,116))</f>
        <v>0</v>
      </c>
      <c r="C371">
        <f>IF(ISBLANK(INDEX('Milestone Tracker – MENA'!$C:$C,116)),C370,INDEX('Milestone Tracker – MENA'!$C:$C,116))</f>
        <v>0</v>
      </c>
      <c r="D371">
        <f>IF(ISBLANK(INDEX('Milestone Tracker – MENA'!$D:$D,116)),D370,INDEX('Milestone Tracker – MENA'!$D:$D,116))</f>
        <v>0</v>
      </c>
      <c r="E371" t="str">
        <f>IF(ISBLANK(INDEX('Milestone Tracker – MENA'!$E:$E,116)),"",INDEX('Milestone Tracker – MENA'!$E:$E,116))</f>
        <v/>
      </c>
      <c r="F371" t="str">
        <f>IF(ISBLANK(INDEX('Milestone Tracker – MENA'!$F:$F,116)),"",INDEX('Milestone Tracker – MENA'!$F:$F,116))</f>
        <v/>
      </c>
      <c r="G371" t="e">
        <f>IF(ISBLANK(INDEX('Milestone Tracker – MENA'!#REF!,116)),"",INDEX('Milestone Tracker – MENA'!#REF!,116))</f>
        <v>#REF!</v>
      </c>
      <c r="H371" t="str">
        <f>IF(ISBLANK(INDEX('Milestone Tracker – MENA'!$G:$G,116)),"",INDEX('Milestone Tracker – MENA'!$G:$G,116))</f>
        <v/>
      </c>
      <c r="I371" t="str">
        <f>IF(ISBLANK(INDEX('Milestone Tracker – MENA'!$H:$H,116)),"",INDEX('Milestone Tracker – MENA'!$H:$H,116))</f>
        <v/>
      </c>
      <c r="J371" t="e">
        <f>IF(ISBLANK(INDEX('Milestone Tracker – MENA'!#REF!,116)),"",INDEX('Milestone Tracker – MENA'!#REF!,116))</f>
        <v>#REF!</v>
      </c>
      <c r="K371">
        <f t="shared" si="10"/>
        <v>0</v>
      </c>
      <c r="L371">
        <f t="shared" si="11"/>
        <v>0</v>
      </c>
    </row>
    <row r="372" spans="1:12" x14ac:dyDescent="0.35">
      <c r="A372">
        <v>117</v>
      </c>
      <c r="B372">
        <f>IF(ISBLANK(INDEX('Milestone Tracker – MENA'!$B:$B,117)),B371,INDEX('Milestone Tracker – MENA'!$B:$B,117))</f>
        <v>0</v>
      </c>
      <c r="C372">
        <f>IF(ISBLANK(INDEX('Milestone Tracker – MENA'!$C:$C,117)),C371,INDEX('Milestone Tracker – MENA'!$C:$C,117))</f>
        <v>0</v>
      </c>
      <c r="D372">
        <f>IF(ISBLANK(INDEX('Milestone Tracker – MENA'!$D:$D,117)),D371,INDEX('Milestone Tracker – MENA'!$D:$D,117))</f>
        <v>0</v>
      </c>
      <c r="E372" t="str">
        <f>IF(ISBLANK(INDEX('Milestone Tracker – MENA'!$E:$E,117)),"",INDEX('Milestone Tracker – MENA'!$E:$E,117))</f>
        <v/>
      </c>
      <c r="F372" t="str">
        <f>IF(ISBLANK(INDEX('Milestone Tracker – MENA'!$F:$F,117)),"",INDEX('Milestone Tracker – MENA'!$F:$F,117))</f>
        <v/>
      </c>
      <c r="G372" t="e">
        <f>IF(ISBLANK(INDEX('Milestone Tracker – MENA'!#REF!,117)),"",INDEX('Milestone Tracker – MENA'!#REF!,117))</f>
        <v>#REF!</v>
      </c>
      <c r="H372" t="str">
        <f>IF(ISBLANK(INDEX('Milestone Tracker – MENA'!$G:$G,117)),"",INDEX('Milestone Tracker – MENA'!$G:$G,117))</f>
        <v/>
      </c>
      <c r="I372" t="str">
        <f>IF(ISBLANK(INDEX('Milestone Tracker – MENA'!$H:$H,117)),"",INDEX('Milestone Tracker – MENA'!$H:$H,117))</f>
        <v/>
      </c>
      <c r="J372" t="e">
        <f>IF(ISBLANK(INDEX('Milestone Tracker – MENA'!#REF!,117)),"",INDEX('Milestone Tracker – MENA'!#REF!,117))</f>
        <v>#REF!</v>
      </c>
      <c r="K372">
        <f t="shared" si="10"/>
        <v>0</v>
      </c>
      <c r="L372">
        <f t="shared" si="11"/>
        <v>0</v>
      </c>
    </row>
    <row r="373" spans="1:12" x14ac:dyDescent="0.35">
      <c r="A373">
        <v>118</v>
      </c>
      <c r="B373">
        <f>IF(ISBLANK(INDEX('Milestone Tracker – MENA'!$B:$B,118)),B372,INDEX('Milestone Tracker – MENA'!$B:$B,118))</f>
        <v>0</v>
      </c>
      <c r="C373">
        <f>IF(ISBLANK(INDEX('Milestone Tracker – MENA'!$C:$C,118)),C372,INDEX('Milestone Tracker – MENA'!$C:$C,118))</f>
        <v>0</v>
      </c>
      <c r="D373">
        <f>IF(ISBLANK(INDEX('Milestone Tracker – MENA'!$D:$D,118)),D372,INDEX('Milestone Tracker – MENA'!$D:$D,118))</f>
        <v>0</v>
      </c>
      <c r="E373" t="str">
        <f>IF(ISBLANK(INDEX('Milestone Tracker – MENA'!$E:$E,118)),"",INDEX('Milestone Tracker – MENA'!$E:$E,118))</f>
        <v/>
      </c>
      <c r="F373" t="str">
        <f>IF(ISBLANK(INDEX('Milestone Tracker – MENA'!$F:$F,118)),"",INDEX('Milestone Tracker – MENA'!$F:$F,118))</f>
        <v/>
      </c>
      <c r="G373" t="e">
        <f>IF(ISBLANK(INDEX('Milestone Tracker – MENA'!#REF!,118)),"",INDEX('Milestone Tracker – MENA'!#REF!,118))</f>
        <v>#REF!</v>
      </c>
      <c r="H373" t="str">
        <f>IF(ISBLANK(INDEX('Milestone Tracker – MENA'!$G:$G,118)),"",INDEX('Milestone Tracker – MENA'!$G:$G,118))</f>
        <v/>
      </c>
      <c r="I373" t="str">
        <f>IF(ISBLANK(INDEX('Milestone Tracker – MENA'!$H:$H,118)),"",INDEX('Milestone Tracker – MENA'!$H:$H,118))</f>
        <v/>
      </c>
      <c r="J373" t="e">
        <f>IF(ISBLANK(INDEX('Milestone Tracker – MENA'!#REF!,118)),"",INDEX('Milestone Tracker – MENA'!#REF!,118))</f>
        <v>#REF!</v>
      </c>
      <c r="K373">
        <f t="shared" si="10"/>
        <v>0</v>
      </c>
      <c r="L373">
        <f t="shared" si="11"/>
        <v>0</v>
      </c>
    </row>
    <row r="374" spans="1:12" x14ac:dyDescent="0.35">
      <c r="A374">
        <v>119</v>
      </c>
      <c r="B374">
        <f>IF(ISBLANK(INDEX('Milestone Tracker – MENA'!$B:$B,119)),B373,INDEX('Milestone Tracker – MENA'!$B:$B,119))</f>
        <v>0</v>
      </c>
      <c r="C374">
        <f>IF(ISBLANK(INDEX('Milestone Tracker – MENA'!$C:$C,119)),C373,INDEX('Milestone Tracker – MENA'!$C:$C,119))</f>
        <v>0</v>
      </c>
      <c r="D374">
        <f>IF(ISBLANK(INDEX('Milestone Tracker – MENA'!$D:$D,119)),D373,INDEX('Milestone Tracker – MENA'!$D:$D,119))</f>
        <v>0</v>
      </c>
      <c r="E374" t="str">
        <f>IF(ISBLANK(INDEX('Milestone Tracker – MENA'!$E:$E,119)),"",INDEX('Milestone Tracker – MENA'!$E:$E,119))</f>
        <v/>
      </c>
      <c r="F374" t="str">
        <f>IF(ISBLANK(INDEX('Milestone Tracker – MENA'!$F:$F,119)),"",INDEX('Milestone Tracker – MENA'!$F:$F,119))</f>
        <v/>
      </c>
      <c r="G374" t="e">
        <f>IF(ISBLANK(INDEX('Milestone Tracker – MENA'!#REF!,119)),"",INDEX('Milestone Tracker – MENA'!#REF!,119))</f>
        <v>#REF!</v>
      </c>
      <c r="H374" t="str">
        <f>IF(ISBLANK(INDEX('Milestone Tracker – MENA'!$G:$G,119)),"",INDEX('Milestone Tracker – MENA'!$G:$G,119))</f>
        <v/>
      </c>
      <c r="I374" t="str">
        <f>IF(ISBLANK(INDEX('Milestone Tracker – MENA'!$H:$H,119)),"",INDEX('Milestone Tracker – MENA'!$H:$H,119))</f>
        <v/>
      </c>
      <c r="J374" t="e">
        <f>IF(ISBLANK(INDEX('Milestone Tracker – MENA'!#REF!,119)),"",INDEX('Milestone Tracker – MENA'!#REF!,119))</f>
        <v>#REF!</v>
      </c>
      <c r="K374">
        <f t="shared" si="10"/>
        <v>0</v>
      </c>
      <c r="L374">
        <f t="shared" si="11"/>
        <v>0</v>
      </c>
    </row>
    <row r="375" spans="1:12" x14ac:dyDescent="0.35">
      <c r="A375">
        <v>120</v>
      </c>
      <c r="B375">
        <f>IF(ISBLANK(INDEX('Milestone Tracker – MENA'!$B:$B,120)),B374,INDEX('Milestone Tracker – MENA'!$B:$B,120))</f>
        <v>0</v>
      </c>
      <c r="C375">
        <f>IF(ISBLANK(INDEX('Milestone Tracker – MENA'!$C:$C,120)),C374,INDEX('Milestone Tracker – MENA'!$C:$C,120))</f>
        <v>0</v>
      </c>
      <c r="D375">
        <f>IF(ISBLANK(INDEX('Milestone Tracker – MENA'!$D:$D,120)),D374,INDEX('Milestone Tracker – MENA'!$D:$D,120))</f>
        <v>0</v>
      </c>
      <c r="E375" t="str">
        <f>IF(ISBLANK(INDEX('Milestone Tracker – MENA'!$E:$E,120)),"",INDEX('Milestone Tracker – MENA'!$E:$E,120))</f>
        <v/>
      </c>
      <c r="F375" t="str">
        <f>IF(ISBLANK(INDEX('Milestone Tracker – MENA'!$F:$F,120)),"",INDEX('Milestone Tracker – MENA'!$F:$F,120))</f>
        <v/>
      </c>
      <c r="G375" t="e">
        <f>IF(ISBLANK(INDEX('Milestone Tracker – MENA'!#REF!,120)),"",INDEX('Milestone Tracker – MENA'!#REF!,120))</f>
        <v>#REF!</v>
      </c>
      <c r="H375" t="str">
        <f>IF(ISBLANK(INDEX('Milestone Tracker – MENA'!$G:$G,120)),"",INDEX('Milestone Tracker – MENA'!$G:$G,120))</f>
        <v/>
      </c>
      <c r="I375" t="str">
        <f>IF(ISBLANK(INDEX('Milestone Tracker – MENA'!$H:$H,120)),"",INDEX('Milestone Tracker – MENA'!$H:$H,120))</f>
        <v/>
      </c>
      <c r="J375" t="e">
        <f>IF(ISBLANK(INDEX('Milestone Tracker – MENA'!#REF!,120)),"",INDEX('Milestone Tracker – MENA'!#REF!,120))</f>
        <v>#REF!</v>
      </c>
      <c r="K375">
        <f t="shared" si="10"/>
        <v>0</v>
      </c>
      <c r="L375">
        <f t="shared" si="11"/>
        <v>0</v>
      </c>
    </row>
    <row r="376" spans="1:12" x14ac:dyDescent="0.35">
      <c r="A376">
        <v>121</v>
      </c>
      <c r="B376">
        <f>IF(ISBLANK(INDEX('Milestone Tracker – MENA'!$B:$B,121)),B375,INDEX('Milestone Tracker – MENA'!$B:$B,121))</f>
        <v>0</v>
      </c>
      <c r="C376">
        <f>IF(ISBLANK(INDEX('Milestone Tracker – MENA'!$C:$C,121)),C375,INDEX('Milestone Tracker – MENA'!$C:$C,121))</f>
        <v>0</v>
      </c>
      <c r="D376">
        <f>IF(ISBLANK(INDEX('Milestone Tracker – MENA'!$D:$D,121)),D375,INDEX('Milestone Tracker – MENA'!$D:$D,121))</f>
        <v>0</v>
      </c>
      <c r="E376" t="str">
        <f>IF(ISBLANK(INDEX('Milestone Tracker – MENA'!$E:$E,121)),"",INDEX('Milestone Tracker – MENA'!$E:$E,121))</f>
        <v/>
      </c>
      <c r="F376" t="str">
        <f>IF(ISBLANK(INDEX('Milestone Tracker – MENA'!$F:$F,121)),"",INDEX('Milestone Tracker – MENA'!$F:$F,121))</f>
        <v/>
      </c>
      <c r="G376" t="e">
        <f>IF(ISBLANK(INDEX('Milestone Tracker – MENA'!#REF!,121)),"",INDEX('Milestone Tracker – MENA'!#REF!,121))</f>
        <v>#REF!</v>
      </c>
      <c r="H376" t="str">
        <f>IF(ISBLANK(INDEX('Milestone Tracker – MENA'!$G:$G,121)),"",INDEX('Milestone Tracker – MENA'!$G:$G,121))</f>
        <v/>
      </c>
      <c r="I376" t="str">
        <f>IF(ISBLANK(INDEX('Milestone Tracker – MENA'!$H:$H,121)),"",INDEX('Milestone Tracker – MENA'!$H:$H,121))</f>
        <v/>
      </c>
      <c r="J376" t="e">
        <f>IF(ISBLANK(INDEX('Milestone Tracker – MENA'!#REF!,121)),"",INDEX('Milestone Tracker – MENA'!#REF!,121))</f>
        <v>#REF!</v>
      </c>
      <c r="K376">
        <f t="shared" si="10"/>
        <v>0</v>
      </c>
      <c r="L376">
        <f t="shared" si="11"/>
        <v>0</v>
      </c>
    </row>
    <row r="377" spans="1:12" x14ac:dyDescent="0.35">
      <c r="A377">
        <v>122</v>
      </c>
      <c r="B377">
        <f>IF(ISBLANK(INDEX('Milestone Tracker – MENA'!$B:$B,122)),B376,INDEX('Milestone Tracker – MENA'!$B:$B,122))</f>
        <v>0</v>
      </c>
      <c r="C377">
        <f>IF(ISBLANK(INDEX('Milestone Tracker – MENA'!$C:$C,122)),C376,INDEX('Milestone Tracker – MENA'!$C:$C,122))</f>
        <v>0</v>
      </c>
      <c r="D377">
        <f>IF(ISBLANK(INDEX('Milestone Tracker – MENA'!$D:$D,122)),D376,INDEX('Milestone Tracker – MENA'!$D:$D,122))</f>
        <v>0</v>
      </c>
      <c r="E377" t="str">
        <f>IF(ISBLANK(INDEX('Milestone Tracker – MENA'!$E:$E,122)),"",INDEX('Milestone Tracker – MENA'!$E:$E,122))</f>
        <v/>
      </c>
      <c r="F377" t="str">
        <f>IF(ISBLANK(INDEX('Milestone Tracker – MENA'!$F:$F,122)),"",INDEX('Milestone Tracker – MENA'!$F:$F,122))</f>
        <v/>
      </c>
      <c r="G377" t="e">
        <f>IF(ISBLANK(INDEX('Milestone Tracker – MENA'!#REF!,122)),"",INDEX('Milestone Tracker – MENA'!#REF!,122))</f>
        <v>#REF!</v>
      </c>
      <c r="H377" t="str">
        <f>IF(ISBLANK(INDEX('Milestone Tracker – MENA'!$G:$G,122)),"",INDEX('Milestone Tracker – MENA'!$G:$G,122))</f>
        <v/>
      </c>
      <c r="I377" t="str">
        <f>IF(ISBLANK(INDEX('Milestone Tracker – MENA'!$H:$H,122)),"",INDEX('Milestone Tracker – MENA'!$H:$H,122))</f>
        <v/>
      </c>
      <c r="J377" t="e">
        <f>IF(ISBLANK(INDEX('Milestone Tracker – MENA'!#REF!,122)),"",INDEX('Milestone Tracker – MENA'!#REF!,122))</f>
        <v>#REF!</v>
      </c>
      <c r="K377">
        <f t="shared" si="10"/>
        <v>0</v>
      </c>
      <c r="L377">
        <f t="shared" si="11"/>
        <v>0</v>
      </c>
    </row>
    <row r="378" spans="1:12" x14ac:dyDescent="0.35">
      <c r="A378">
        <v>123</v>
      </c>
      <c r="B378">
        <f>IF(ISBLANK(INDEX('Milestone Tracker – MENA'!$B:$B,123)),B377,INDEX('Milestone Tracker – MENA'!$B:$B,123))</f>
        <v>0</v>
      </c>
      <c r="C378">
        <f>IF(ISBLANK(INDEX('Milestone Tracker – MENA'!$C:$C,123)),C377,INDEX('Milestone Tracker – MENA'!$C:$C,123))</f>
        <v>0</v>
      </c>
      <c r="D378">
        <f>IF(ISBLANK(INDEX('Milestone Tracker – MENA'!$D:$D,123)),D377,INDEX('Milestone Tracker – MENA'!$D:$D,123))</f>
        <v>0</v>
      </c>
      <c r="E378" t="str">
        <f>IF(ISBLANK(INDEX('Milestone Tracker – MENA'!$E:$E,123)),"",INDEX('Milestone Tracker – MENA'!$E:$E,123))</f>
        <v/>
      </c>
      <c r="F378" t="str">
        <f>IF(ISBLANK(INDEX('Milestone Tracker – MENA'!$F:$F,123)),"",INDEX('Milestone Tracker – MENA'!$F:$F,123))</f>
        <v/>
      </c>
      <c r="G378" t="e">
        <f>IF(ISBLANK(INDEX('Milestone Tracker – MENA'!#REF!,123)),"",INDEX('Milestone Tracker – MENA'!#REF!,123))</f>
        <v>#REF!</v>
      </c>
      <c r="H378" t="str">
        <f>IF(ISBLANK(INDEX('Milestone Tracker – MENA'!$G:$G,123)),"",INDEX('Milestone Tracker – MENA'!$G:$G,123))</f>
        <v/>
      </c>
      <c r="I378" t="str">
        <f>IF(ISBLANK(INDEX('Milestone Tracker – MENA'!$H:$H,123)),"",INDEX('Milestone Tracker – MENA'!$H:$H,123))</f>
        <v/>
      </c>
      <c r="J378" t="e">
        <f>IF(ISBLANK(INDEX('Milestone Tracker – MENA'!#REF!,123)),"",INDEX('Milestone Tracker – MENA'!#REF!,123))</f>
        <v>#REF!</v>
      </c>
      <c r="K378">
        <f t="shared" si="10"/>
        <v>0</v>
      </c>
      <c r="L378">
        <f t="shared" si="11"/>
        <v>0</v>
      </c>
    </row>
    <row r="379" spans="1:12" x14ac:dyDescent="0.35">
      <c r="A379">
        <v>124</v>
      </c>
      <c r="B379">
        <f>IF(ISBLANK(INDEX('Milestone Tracker – MENA'!$B:$B,124)),B378,INDEX('Milestone Tracker – MENA'!$B:$B,124))</f>
        <v>0</v>
      </c>
      <c r="C379">
        <f>IF(ISBLANK(INDEX('Milestone Tracker – MENA'!$C:$C,124)),C378,INDEX('Milestone Tracker – MENA'!$C:$C,124))</f>
        <v>0</v>
      </c>
      <c r="D379">
        <f>IF(ISBLANK(INDEX('Milestone Tracker – MENA'!$D:$D,124)),D378,INDEX('Milestone Tracker – MENA'!$D:$D,124))</f>
        <v>0</v>
      </c>
      <c r="E379" t="str">
        <f>IF(ISBLANK(INDEX('Milestone Tracker – MENA'!$E:$E,124)),"",INDEX('Milestone Tracker – MENA'!$E:$E,124))</f>
        <v/>
      </c>
      <c r="F379" t="str">
        <f>IF(ISBLANK(INDEX('Milestone Tracker – MENA'!$F:$F,124)),"",INDEX('Milestone Tracker – MENA'!$F:$F,124))</f>
        <v/>
      </c>
      <c r="G379" t="e">
        <f>IF(ISBLANK(INDEX('Milestone Tracker – MENA'!#REF!,124)),"",INDEX('Milestone Tracker – MENA'!#REF!,124))</f>
        <v>#REF!</v>
      </c>
      <c r="H379" t="str">
        <f>IF(ISBLANK(INDEX('Milestone Tracker – MENA'!$G:$G,124)),"",INDEX('Milestone Tracker – MENA'!$G:$G,124))</f>
        <v/>
      </c>
      <c r="I379" t="str">
        <f>IF(ISBLANK(INDEX('Milestone Tracker – MENA'!$H:$H,124)),"",INDEX('Milestone Tracker – MENA'!$H:$H,124))</f>
        <v/>
      </c>
      <c r="J379" t="e">
        <f>IF(ISBLANK(INDEX('Milestone Tracker – MENA'!#REF!,124)),"",INDEX('Milestone Tracker – MENA'!#REF!,124))</f>
        <v>#REF!</v>
      </c>
      <c r="K379">
        <f t="shared" si="10"/>
        <v>0</v>
      </c>
      <c r="L379">
        <f t="shared" si="11"/>
        <v>0</v>
      </c>
    </row>
    <row r="380" spans="1:12" x14ac:dyDescent="0.35">
      <c r="A380">
        <v>125</v>
      </c>
      <c r="B380">
        <f>IF(ISBLANK(INDEX('Milestone Tracker – MENA'!$B:$B,125)),B379,INDEX('Milestone Tracker – MENA'!$B:$B,125))</f>
        <v>0</v>
      </c>
      <c r="C380">
        <f>IF(ISBLANK(INDEX('Milestone Tracker – MENA'!$C:$C,125)),C379,INDEX('Milestone Tracker – MENA'!$C:$C,125))</f>
        <v>0</v>
      </c>
      <c r="D380">
        <f>IF(ISBLANK(INDEX('Milestone Tracker – MENA'!$D:$D,125)),D379,INDEX('Milestone Tracker – MENA'!$D:$D,125))</f>
        <v>0</v>
      </c>
      <c r="E380" t="str">
        <f>IF(ISBLANK(INDEX('Milestone Tracker – MENA'!$E:$E,125)),"",INDEX('Milestone Tracker – MENA'!$E:$E,125))</f>
        <v/>
      </c>
      <c r="F380" t="str">
        <f>IF(ISBLANK(INDEX('Milestone Tracker – MENA'!$F:$F,125)),"",INDEX('Milestone Tracker – MENA'!$F:$F,125))</f>
        <v/>
      </c>
      <c r="G380" t="e">
        <f>IF(ISBLANK(INDEX('Milestone Tracker – MENA'!#REF!,125)),"",INDEX('Milestone Tracker – MENA'!#REF!,125))</f>
        <v>#REF!</v>
      </c>
      <c r="H380" t="str">
        <f>IF(ISBLANK(INDEX('Milestone Tracker – MENA'!$G:$G,125)),"",INDEX('Milestone Tracker – MENA'!$G:$G,125))</f>
        <v/>
      </c>
      <c r="I380" t="str">
        <f>IF(ISBLANK(INDEX('Milestone Tracker – MENA'!$H:$H,125)),"",INDEX('Milestone Tracker – MENA'!$H:$H,125))</f>
        <v/>
      </c>
      <c r="J380" t="e">
        <f>IF(ISBLANK(INDEX('Milestone Tracker – MENA'!#REF!,125)),"",INDEX('Milestone Tracker – MENA'!#REF!,125))</f>
        <v>#REF!</v>
      </c>
      <c r="K380">
        <f t="shared" si="10"/>
        <v>0</v>
      </c>
      <c r="L380">
        <f t="shared" si="11"/>
        <v>0</v>
      </c>
    </row>
    <row r="381" spans="1:12" x14ac:dyDescent="0.35">
      <c r="A381">
        <v>126</v>
      </c>
      <c r="B381">
        <f>IF(ISBLANK(INDEX('Milestone Tracker – MENA'!$B:$B,126)),B380,INDEX('Milestone Tracker – MENA'!$B:$B,126))</f>
        <v>0</v>
      </c>
      <c r="C381">
        <f>IF(ISBLANK(INDEX('Milestone Tracker – MENA'!$C:$C,126)),C380,INDEX('Milestone Tracker – MENA'!$C:$C,126))</f>
        <v>0</v>
      </c>
      <c r="D381">
        <f>IF(ISBLANK(INDEX('Milestone Tracker – MENA'!$D:$D,126)),D380,INDEX('Milestone Tracker – MENA'!$D:$D,126))</f>
        <v>0</v>
      </c>
      <c r="E381" t="str">
        <f>IF(ISBLANK(INDEX('Milestone Tracker – MENA'!$E:$E,126)),"",INDEX('Milestone Tracker – MENA'!$E:$E,126))</f>
        <v/>
      </c>
      <c r="F381" t="str">
        <f>IF(ISBLANK(INDEX('Milestone Tracker – MENA'!$F:$F,126)),"",INDEX('Milestone Tracker – MENA'!$F:$F,126))</f>
        <v/>
      </c>
      <c r="G381" t="e">
        <f>IF(ISBLANK(INDEX('Milestone Tracker – MENA'!#REF!,126)),"",INDEX('Milestone Tracker – MENA'!#REF!,126))</f>
        <v>#REF!</v>
      </c>
      <c r="H381" t="str">
        <f>IF(ISBLANK(INDEX('Milestone Tracker – MENA'!$G:$G,126)),"",INDEX('Milestone Tracker – MENA'!$G:$G,126))</f>
        <v/>
      </c>
      <c r="I381" t="str">
        <f>IF(ISBLANK(INDEX('Milestone Tracker – MENA'!$H:$H,126)),"",INDEX('Milestone Tracker – MENA'!$H:$H,126))</f>
        <v/>
      </c>
      <c r="J381" t="e">
        <f>IF(ISBLANK(INDEX('Milestone Tracker – MENA'!#REF!,126)),"",INDEX('Milestone Tracker – MENA'!#REF!,126))</f>
        <v>#REF!</v>
      </c>
      <c r="K381">
        <f t="shared" si="10"/>
        <v>0</v>
      </c>
      <c r="L381">
        <f t="shared" si="11"/>
        <v>0</v>
      </c>
    </row>
    <row r="382" spans="1:12" x14ac:dyDescent="0.35">
      <c r="A382">
        <v>127</v>
      </c>
      <c r="B382">
        <f>IF(ISBLANK(INDEX('Milestone Tracker – MENA'!$B:$B,127)),B381,INDEX('Milestone Tracker – MENA'!$B:$B,127))</f>
        <v>0</v>
      </c>
      <c r="C382">
        <f>IF(ISBLANK(INDEX('Milestone Tracker – MENA'!$C:$C,127)),C381,INDEX('Milestone Tracker – MENA'!$C:$C,127))</f>
        <v>0</v>
      </c>
      <c r="D382">
        <f>IF(ISBLANK(INDEX('Milestone Tracker – MENA'!$D:$D,127)),D381,INDEX('Milestone Tracker – MENA'!$D:$D,127))</f>
        <v>0</v>
      </c>
      <c r="E382" t="str">
        <f>IF(ISBLANK(INDEX('Milestone Tracker – MENA'!$E:$E,127)),"",INDEX('Milestone Tracker – MENA'!$E:$E,127))</f>
        <v/>
      </c>
      <c r="F382" t="str">
        <f>IF(ISBLANK(INDEX('Milestone Tracker – MENA'!$F:$F,127)),"",INDEX('Milestone Tracker – MENA'!$F:$F,127))</f>
        <v/>
      </c>
      <c r="G382" t="e">
        <f>IF(ISBLANK(INDEX('Milestone Tracker – MENA'!#REF!,127)),"",INDEX('Milestone Tracker – MENA'!#REF!,127))</f>
        <v>#REF!</v>
      </c>
      <c r="H382" t="str">
        <f>IF(ISBLANK(INDEX('Milestone Tracker – MENA'!$G:$G,127)),"",INDEX('Milestone Tracker – MENA'!$G:$G,127))</f>
        <v/>
      </c>
      <c r="I382" t="str">
        <f>IF(ISBLANK(INDEX('Milestone Tracker – MENA'!$H:$H,127)),"",INDEX('Milestone Tracker – MENA'!$H:$H,127))</f>
        <v/>
      </c>
      <c r="J382" t="e">
        <f>IF(ISBLANK(INDEX('Milestone Tracker – MENA'!#REF!,127)),"",INDEX('Milestone Tracker – MENA'!#REF!,127))</f>
        <v>#REF!</v>
      </c>
      <c r="K382">
        <f t="shared" si="10"/>
        <v>0</v>
      </c>
      <c r="L382">
        <f t="shared" si="11"/>
        <v>0</v>
      </c>
    </row>
    <row r="383" spans="1:12" x14ac:dyDescent="0.35">
      <c r="A383">
        <v>128</v>
      </c>
      <c r="B383">
        <f>IF(ISBLANK(INDEX('Milestone Tracker – MENA'!$B:$B,128)),B382,INDEX('Milestone Tracker – MENA'!$B:$B,128))</f>
        <v>0</v>
      </c>
      <c r="C383">
        <f>IF(ISBLANK(INDEX('Milestone Tracker – MENA'!$C:$C,128)),C382,INDEX('Milestone Tracker – MENA'!$C:$C,128))</f>
        <v>0</v>
      </c>
      <c r="D383">
        <f>IF(ISBLANK(INDEX('Milestone Tracker – MENA'!$D:$D,128)),D382,INDEX('Milestone Tracker – MENA'!$D:$D,128))</f>
        <v>0</v>
      </c>
      <c r="E383" t="str">
        <f>IF(ISBLANK(INDEX('Milestone Tracker – MENA'!$E:$E,128)),"",INDEX('Milestone Tracker – MENA'!$E:$E,128))</f>
        <v/>
      </c>
      <c r="F383" t="str">
        <f>IF(ISBLANK(INDEX('Milestone Tracker – MENA'!$F:$F,128)),"",INDEX('Milestone Tracker – MENA'!$F:$F,128))</f>
        <v/>
      </c>
      <c r="G383" t="e">
        <f>IF(ISBLANK(INDEX('Milestone Tracker – MENA'!#REF!,128)),"",INDEX('Milestone Tracker – MENA'!#REF!,128))</f>
        <v>#REF!</v>
      </c>
      <c r="H383" t="str">
        <f>IF(ISBLANK(INDEX('Milestone Tracker – MENA'!$G:$G,128)),"",INDEX('Milestone Tracker – MENA'!$G:$G,128))</f>
        <v/>
      </c>
      <c r="I383" t="str">
        <f>IF(ISBLANK(INDEX('Milestone Tracker – MENA'!$H:$H,128)),"",INDEX('Milestone Tracker – MENA'!$H:$H,128))</f>
        <v/>
      </c>
      <c r="J383" t="e">
        <f>IF(ISBLANK(INDEX('Milestone Tracker – MENA'!#REF!,128)),"",INDEX('Milestone Tracker – MENA'!#REF!,128))</f>
        <v>#REF!</v>
      </c>
      <c r="K383">
        <f t="shared" si="10"/>
        <v>0</v>
      </c>
      <c r="L383">
        <f t="shared" si="11"/>
        <v>0</v>
      </c>
    </row>
    <row r="384" spans="1:12" x14ac:dyDescent="0.35">
      <c r="A384">
        <v>129</v>
      </c>
      <c r="B384">
        <f>IF(ISBLANK(INDEX('Milestone Tracker – MENA'!$B:$B,129)),B383,INDEX('Milestone Tracker – MENA'!$B:$B,129))</f>
        <v>0</v>
      </c>
      <c r="C384">
        <f>IF(ISBLANK(INDEX('Milestone Tracker – MENA'!$C:$C,129)),C383,INDEX('Milestone Tracker – MENA'!$C:$C,129))</f>
        <v>0</v>
      </c>
      <c r="D384">
        <f>IF(ISBLANK(INDEX('Milestone Tracker – MENA'!$D:$D,129)),D383,INDEX('Milestone Tracker – MENA'!$D:$D,129))</f>
        <v>0</v>
      </c>
      <c r="E384" t="str">
        <f>IF(ISBLANK(INDEX('Milestone Tracker – MENA'!$E:$E,129)),"",INDEX('Milestone Tracker – MENA'!$E:$E,129))</f>
        <v/>
      </c>
      <c r="F384" t="str">
        <f>IF(ISBLANK(INDEX('Milestone Tracker – MENA'!$F:$F,129)),"",INDEX('Milestone Tracker – MENA'!$F:$F,129))</f>
        <v/>
      </c>
      <c r="G384" t="e">
        <f>IF(ISBLANK(INDEX('Milestone Tracker – MENA'!#REF!,129)),"",INDEX('Milestone Tracker – MENA'!#REF!,129))</f>
        <v>#REF!</v>
      </c>
      <c r="H384" t="str">
        <f>IF(ISBLANK(INDEX('Milestone Tracker – MENA'!$G:$G,129)),"",INDEX('Milestone Tracker – MENA'!$G:$G,129))</f>
        <v/>
      </c>
      <c r="I384" t="str">
        <f>IF(ISBLANK(INDEX('Milestone Tracker – MENA'!$H:$H,129)),"",INDEX('Milestone Tracker – MENA'!$H:$H,129))</f>
        <v/>
      </c>
      <c r="J384" t="e">
        <f>IF(ISBLANK(INDEX('Milestone Tracker – MENA'!#REF!,129)),"",INDEX('Milestone Tracker – MENA'!#REF!,129))</f>
        <v>#REF!</v>
      </c>
      <c r="K384">
        <f t="shared" si="10"/>
        <v>0</v>
      </c>
      <c r="L384">
        <f t="shared" si="11"/>
        <v>0</v>
      </c>
    </row>
    <row r="385" spans="1:12" x14ac:dyDescent="0.35">
      <c r="A385">
        <v>130</v>
      </c>
      <c r="B385">
        <f>IF(ISBLANK(INDEX('Milestone Tracker – MENA'!$B:$B,130)),B384,INDEX('Milestone Tracker – MENA'!$B:$B,130))</f>
        <v>0</v>
      </c>
      <c r="C385">
        <f>IF(ISBLANK(INDEX('Milestone Tracker – MENA'!$C:$C,130)),C384,INDEX('Milestone Tracker – MENA'!$C:$C,130))</f>
        <v>0</v>
      </c>
      <c r="D385">
        <f>IF(ISBLANK(INDEX('Milestone Tracker – MENA'!$D:$D,130)),D384,INDEX('Milestone Tracker – MENA'!$D:$D,130))</f>
        <v>0</v>
      </c>
      <c r="E385" t="str">
        <f>IF(ISBLANK(INDEX('Milestone Tracker – MENA'!$E:$E,130)),"",INDEX('Milestone Tracker – MENA'!$E:$E,130))</f>
        <v/>
      </c>
      <c r="F385" t="str">
        <f>IF(ISBLANK(INDEX('Milestone Tracker – MENA'!$F:$F,130)),"",INDEX('Milestone Tracker – MENA'!$F:$F,130))</f>
        <v/>
      </c>
      <c r="G385" t="e">
        <f>IF(ISBLANK(INDEX('Milestone Tracker – MENA'!#REF!,130)),"",INDEX('Milestone Tracker – MENA'!#REF!,130))</f>
        <v>#REF!</v>
      </c>
      <c r="H385" t="str">
        <f>IF(ISBLANK(INDEX('Milestone Tracker – MENA'!$G:$G,130)),"",INDEX('Milestone Tracker – MENA'!$G:$G,130))</f>
        <v/>
      </c>
      <c r="I385" t="str">
        <f>IF(ISBLANK(INDEX('Milestone Tracker – MENA'!$H:$H,130)),"",INDEX('Milestone Tracker – MENA'!$H:$H,130))</f>
        <v/>
      </c>
      <c r="J385" t="e">
        <f>IF(ISBLANK(INDEX('Milestone Tracker – MENA'!#REF!,130)),"",INDEX('Milestone Tracker – MENA'!#REF!,130))</f>
        <v>#REF!</v>
      </c>
      <c r="K385">
        <f t="shared" si="10"/>
        <v>0</v>
      </c>
      <c r="L385">
        <f t="shared" si="11"/>
        <v>0</v>
      </c>
    </row>
    <row r="386" spans="1:12" x14ac:dyDescent="0.35">
      <c r="A386">
        <v>131</v>
      </c>
      <c r="B386">
        <f>IF(ISBLANK(INDEX('Milestone Tracker – MENA'!$B:$B,131)),B385,INDEX('Milestone Tracker – MENA'!$B:$B,131))</f>
        <v>0</v>
      </c>
      <c r="C386">
        <f>IF(ISBLANK(INDEX('Milestone Tracker – MENA'!$C:$C,131)),C385,INDEX('Milestone Tracker – MENA'!$C:$C,131))</f>
        <v>0</v>
      </c>
      <c r="D386">
        <f>IF(ISBLANK(INDEX('Milestone Tracker – MENA'!$D:$D,131)),D385,INDEX('Milestone Tracker – MENA'!$D:$D,131))</f>
        <v>0</v>
      </c>
      <c r="E386" t="str">
        <f>IF(ISBLANK(INDEX('Milestone Tracker – MENA'!$E:$E,131)),"",INDEX('Milestone Tracker – MENA'!$E:$E,131))</f>
        <v/>
      </c>
      <c r="F386" t="str">
        <f>IF(ISBLANK(INDEX('Milestone Tracker – MENA'!$F:$F,131)),"",INDEX('Milestone Tracker – MENA'!$F:$F,131))</f>
        <v/>
      </c>
      <c r="G386" t="e">
        <f>IF(ISBLANK(INDEX('Milestone Tracker – MENA'!#REF!,131)),"",INDEX('Milestone Tracker – MENA'!#REF!,131))</f>
        <v>#REF!</v>
      </c>
      <c r="H386" t="str">
        <f>IF(ISBLANK(INDEX('Milestone Tracker – MENA'!$G:$G,131)),"",INDEX('Milestone Tracker – MENA'!$G:$G,131))</f>
        <v/>
      </c>
      <c r="I386" t="str">
        <f>IF(ISBLANK(INDEX('Milestone Tracker – MENA'!$H:$H,131)),"",INDEX('Milestone Tracker – MENA'!$H:$H,131))</f>
        <v/>
      </c>
      <c r="J386" t="e">
        <f>IF(ISBLANK(INDEX('Milestone Tracker – MENA'!#REF!,131)),"",INDEX('Milestone Tracker – MENA'!#REF!,131))</f>
        <v>#REF!</v>
      </c>
      <c r="K386">
        <f t="shared" ref="K386:K449" si="12">IF(LEFT($E386,9)="Milestone",1,0)</f>
        <v>0</v>
      </c>
      <c r="L386">
        <f t="shared" ref="L386:L449" si="13">L385+K386</f>
        <v>0</v>
      </c>
    </row>
    <row r="387" spans="1:12" x14ac:dyDescent="0.35">
      <c r="A387">
        <v>132</v>
      </c>
      <c r="B387">
        <f>IF(ISBLANK(INDEX('Milestone Tracker – MENA'!$B:$B,132)),B386,INDEX('Milestone Tracker – MENA'!$B:$B,132))</f>
        <v>0</v>
      </c>
      <c r="C387">
        <f>IF(ISBLANK(INDEX('Milestone Tracker – MENA'!$C:$C,132)),C386,INDEX('Milestone Tracker – MENA'!$C:$C,132))</f>
        <v>0</v>
      </c>
      <c r="D387">
        <f>IF(ISBLANK(INDEX('Milestone Tracker – MENA'!$D:$D,132)),D386,INDEX('Milestone Tracker – MENA'!$D:$D,132))</f>
        <v>0</v>
      </c>
      <c r="E387" t="str">
        <f>IF(ISBLANK(INDEX('Milestone Tracker – MENA'!$E:$E,132)),"",INDEX('Milestone Tracker – MENA'!$E:$E,132))</f>
        <v/>
      </c>
      <c r="F387" t="str">
        <f>IF(ISBLANK(INDEX('Milestone Tracker – MENA'!$F:$F,132)),"",INDEX('Milestone Tracker – MENA'!$F:$F,132))</f>
        <v/>
      </c>
      <c r="G387" t="e">
        <f>IF(ISBLANK(INDEX('Milestone Tracker – MENA'!#REF!,132)),"",INDEX('Milestone Tracker – MENA'!#REF!,132))</f>
        <v>#REF!</v>
      </c>
      <c r="H387" t="str">
        <f>IF(ISBLANK(INDEX('Milestone Tracker – MENA'!$G:$G,132)),"",INDEX('Milestone Tracker – MENA'!$G:$G,132))</f>
        <v/>
      </c>
      <c r="I387" t="str">
        <f>IF(ISBLANK(INDEX('Milestone Tracker – MENA'!$H:$H,132)),"",INDEX('Milestone Tracker – MENA'!$H:$H,132))</f>
        <v/>
      </c>
      <c r="J387" t="e">
        <f>IF(ISBLANK(INDEX('Milestone Tracker – MENA'!#REF!,132)),"",INDEX('Milestone Tracker – MENA'!#REF!,132))</f>
        <v>#REF!</v>
      </c>
      <c r="K387">
        <f t="shared" si="12"/>
        <v>0</v>
      </c>
      <c r="L387">
        <f t="shared" si="13"/>
        <v>0</v>
      </c>
    </row>
    <row r="388" spans="1:12" x14ac:dyDescent="0.35">
      <c r="A388">
        <v>133</v>
      </c>
      <c r="B388">
        <f>IF(ISBLANK(INDEX('Milestone Tracker – MENA'!$B:$B,133)),B387,INDEX('Milestone Tracker – MENA'!$B:$B,133))</f>
        <v>0</v>
      </c>
      <c r="C388">
        <f>IF(ISBLANK(INDEX('Milestone Tracker – MENA'!$C:$C,133)),C387,INDEX('Milestone Tracker – MENA'!$C:$C,133))</f>
        <v>0</v>
      </c>
      <c r="D388">
        <f>IF(ISBLANK(INDEX('Milestone Tracker – MENA'!$D:$D,133)),D387,INDEX('Milestone Tracker – MENA'!$D:$D,133))</f>
        <v>0</v>
      </c>
      <c r="E388" t="str">
        <f>IF(ISBLANK(INDEX('Milestone Tracker – MENA'!$E:$E,133)),"",INDEX('Milestone Tracker – MENA'!$E:$E,133))</f>
        <v/>
      </c>
      <c r="F388" t="str">
        <f>IF(ISBLANK(INDEX('Milestone Tracker – MENA'!$F:$F,133)),"",INDEX('Milestone Tracker – MENA'!$F:$F,133))</f>
        <v/>
      </c>
      <c r="G388" t="e">
        <f>IF(ISBLANK(INDEX('Milestone Tracker – MENA'!#REF!,133)),"",INDEX('Milestone Tracker – MENA'!#REF!,133))</f>
        <v>#REF!</v>
      </c>
      <c r="H388" t="str">
        <f>IF(ISBLANK(INDEX('Milestone Tracker – MENA'!$G:$G,133)),"",INDEX('Milestone Tracker – MENA'!$G:$G,133))</f>
        <v/>
      </c>
      <c r="I388" t="str">
        <f>IF(ISBLANK(INDEX('Milestone Tracker – MENA'!$H:$H,133)),"",INDEX('Milestone Tracker – MENA'!$H:$H,133))</f>
        <v/>
      </c>
      <c r="J388" t="e">
        <f>IF(ISBLANK(INDEX('Milestone Tracker – MENA'!#REF!,133)),"",INDEX('Milestone Tracker – MENA'!#REF!,133))</f>
        <v>#REF!</v>
      </c>
      <c r="K388">
        <f t="shared" si="12"/>
        <v>0</v>
      </c>
      <c r="L388">
        <f t="shared" si="13"/>
        <v>0</v>
      </c>
    </row>
    <row r="389" spans="1:12" x14ac:dyDescent="0.35">
      <c r="A389">
        <v>134</v>
      </c>
      <c r="B389">
        <f>IF(ISBLANK(INDEX('Milestone Tracker – MENA'!$B:$B,134)),B388,INDEX('Milestone Tracker – MENA'!$B:$B,134))</f>
        <v>0</v>
      </c>
      <c r="C389">
        <f>IF(ISBLANK(INDEX('Milestone Tracker – MENA'!$C:$C,134)),C388,INDEX('Milestone Tracker – MENA'!$C:$C,134))</f>
        <v>0</v>
      </c>
      <c r="D389">
        <f>IF(ISBLANK(INDEX('Milestone Tracker – MENA'!$D:$D,134)),D388,INDEX('Milestone Tracker – MENA'!$D:$D,134))</f>
        <v>0</v>
      </c>
      <c r="E389" t="str">
        <f>IF(ISBLANK(INDEX('Milestone Tracker – MENA'!$E:$E,134)),"",INDEX('Milestone Tracker – MENA'!$E:$E,134))</f>
        <v/>
      </c>
      <c r="F389" t="str">
        <f>IF(ISBLANK(INDEX('Milestone Tracker – MENA'!$F:$F,134)),"",INDEX('Milestone Tracker – MENA'!$F:$F,134))</f>
        <v/>
      </c>
      <c r="G389" t="e">
        <f>IF(ISBLANK(INDEX('Milestone Tracker – MENA'!#REF!,134)),"",INDEX('Milestone Tracker – MENA'!#REF!,134))</f>
        <v>#REF!</v>
      </c>
      <c r="H389" t="str">
        <f>IF(ISBLANK(INDEX('Milestone Tracker – MENA'!$G:$G,134)),"",INDEX('Milestone Tracker – MENA'!$G:$G,134))</f>
        <v/>
      </c>
      <c r="I389" t="str">
        <f>IF(ISBLANK(INDEX('Milestone Tracker – MENA'!$H:$H,134)),"",INDEX('Milestone Tracker – MENA'!$H:$H,134))</f>
        <v/>
      </c>
      <c r="J389" t="e">
        <f>IF(ISBLANK(INDEX('Milestone Tracker – MENA'!#REF!,134)),"",INDEX('Milestone Tracker – MENA'!#REF!,134))</f>
        <v>#REF!</v>
      </c>
      <c r="K389">
        <f t="shared" si="12"/>
        <v>0</v>
      </c>
      <c r="L389">
        <f t="shared" si="13"/>
        <v>0</v>
      </c>
    </row>
    <row r="390" spans="1:12" x14ac:dyDescent="0.35">
      <c r="A390">
        <v>135</v>
      </c>
      <c r="B390">
        <f>IF(ISBLANK(INDEX('Milestone Tracker – MENA'!$B:$B,135)),B389,INDEX('Milestone Tracker – MENA'!$B:$B,135))</f>
        <v>0</v>
      </c>
      <c r="C390">
        <f>IF(ISBLANK(INDEX('Milestone Tracker – MENA'!$C:$C,135)),C389,INDEX('Milestone Tracker – MENA'!$C:$C,135))</f>
        <v>0</v>
      </c>
      <c r="D390">
        <f>IF(ISBLANK(INDEX('Milestone Tracker – MENA'!$D:$D,135)),D389,INDEX('Milestone Tracker – MENA'!$D:$D,135))</f>
        <v>0</v>
      </c>
      <c r="E390" t="str">
        <f>IF(ISBLANK(INDEX('Milestone Tracker – MENA'!$E:$E,135)),"",INDEX('Milestone Tracker – MENA'!$E:$E,135))</f>
        <v/>
      </c>
      <c r="F390" t="str">
        <f>IF(ISBLANK(INDEX('Milestone Tracker – MENA'!$F:$F,135)),"",INDEX('Milestone Tracker – MENA'!$F:$F,135))</f>
        <v/>
      </c>
      <c r="G390" t="e">
        <f>IF(ISBLANK(INDEX('Milestone Tracker – MENA'!#REF!,135)),"",INDEX('Milestone Tracker – MENA'!#REF!,135))</f>
        <v>#REF!</v>
      </c>
      <c r="H390" t="str">
        <f>IF(ISBLANK(INDEX('Milestone Tracker – MENA'!$G:$G,135)),"",INDEX('Milestone Tracker – MENA'!$G:$G,135))</f>
        <v/>
      </c>
      <c r="I390" t="str">
        <f>IF(ISBLANK(INDEX('Milestone Tracker – MENA'!$H:$H,135)),"",INDEX('Milestone Tracker – MENA'!$H:$H,135))</f>
        <v/>
      </c>
      <c r="J390" t="e">
        <f>IF(ISBLANK(INDEX('Milestone Tracker – MENA'!#REF!,135)),"",INDEX('Milestone Tracker – MENA'!#REF!,135))</f>
        <v>#REF!</v>
      </c>
      <c r="K390">
        <f t="shared" si="12"/>
        <v>0</v>
      </c>
      <c r="L390">
        <f t="shared" si="13"/>
        <v>0</v>
      </c>
    </row>
    <row r="391" spans="1:12" x14ac:dyDescent="0.35">
      <c r="A391">
        <v>136</v>
      </c>
      <c r="B391">
        <f>IF(ISBLANK(INDEX('Milestone Tracker – MENA'!$B:$B,136)),B390,INDEX('Milestone Tracker – MENA'!$B:$B,136))</f>
        <v>0</v>
      </c>
      <c r="C391">
        <f>IF(ISBLANK(INDEX('Milestone Tracker – MENA'!$C:$C,136)),C390,INDEX('Milestone Tracker – MENA'!$C:$C,136))</f>
        <v>0</v>
      </c>
      <c r="D391">
        <f>IF(ISBLANK(INDEX('Milestone Tracker – MENA'!$D:$D,136)),D390,INDEX('Milestone Tracker – MENA'!$D:$D,136))</f>
        <v>0</v>
      </c>
      <c r="E391" t="str">
        <f>IF(ISBLANK(INDEX('Milestone Tracker – MENA'!$E:$E,136)),"",INDEX('Milestone Tracker – MENA'!$E:$E,136))</f>
        <v/>
      </c>
      <c r="F391" t="str">
        <f>IF(ISBLANK(INDEX('Milestone Tracker – MENA'!$F:$F,136)),"",INDEX('Milestone Tracker – MENA'!$F:$F,136))</f>
        <v/>
      </c>
      <c r="G391" t="e">
        <f>IF(ISBLANK(INDEX('Milestone Tracker – MENA'!#REF!,136)),"",INDEX('Milestone Tracker – MENA'!#REF!,136))</f>
        <v>#REF!</v>
      </c>
      <c r="H391" t="str">
        <f>IF(ISBLANK(INDEX('Milestone Tracker – MENA'!$G:$G,136)),"",INDEX('Milestone Tracker – MENA'!$G:$G,136))</f>
        <v/>
      </c>
      <c r="I391" t="str">
        <f>IF(ISBLANK(INDEX('Milestone Tracker – MENA'!$H:$H,136)),"",INDEX('Milestone Tracker – MENA'!$H:$H,136))</f>
        <v/>
      </c>
      <c r="J391" t="e">
        <f>IF(ISBLANK(INDEX('Milestone Tracker – MENA'!#REF!,136)),"",INDEX('Milestone Tracker – MENA'!#REF!,136))</f>
        <v>#REF!</v>
      </c>
      <c r="K391">
        <f t="shared" si="12"/>
        <v>0</v>
      </c>
      <c r="L391">
        <f t="shared" si="13"/>
        <v>0</v>
      </c>
    </row>
    <row r="392" spans="1:12" x14ac:dyDescent="0.35">
      <c r="A392">
        <v>137</v>
      </c>
      <c r="B392">
        <f>IF(ISBLANK(INDEX('Milestone Tracker – MENA'!$B:$B,137)),B391,INDEX('Milestone Tracker – MENA'!$B:$B,137))</f>
        <v>0</v>
      </c>
      <c r="C392">
        <f>IF(ISBLANK(INDEX('Milestone Tracker – MENA'!$C:$C,137)),C391,INDEX('Milestone Tracker – MENA'!$C:$C,137))</f>
        <v>0</v>
      </c>
      <c r="D392">
        <f>IF(ISBLANK(INDEX('Milestone Tracker – MENA'!$D:$D,137)),D391,INDEX('Milestone Tracker – MENA'!$D:$D,137))</f>
        <v>0</v>
      </c>
      <c r="E392" t="str">
        <f>IF(ISBLANK(INDEX('Milestone Tracker – MENA'!$E:$E,137)),"",INDEX('Milestone Tracker – MENA'!$E:$E,137))</f>
        <v/>
      </c>
      <c r="F392" t="str">
        <f>IF(ISBLANK(INDEX('Milestone Tracker – MENA'!$F:$F,137)),"",INDEX('Milestone Tracker – MENA'!$F:$F,137))</f>
        <v/>
      </c>
      <c r="G392" t="e">
        <f>IF(ISBLANK(INDEX('Milestone Tracker – MENA'!#REF!,137)),"",INDEX('Milestone Tracker – MENA'!#REF!,137))</f>
        <v>#REF!</v>
      </c>
      <c r="H392" t="str">
        <f>IF(ISBLANK(INDEX('Milestone Tracker – MENA'!$G:$G,137)),"",INDEX('Milestone Tracker – MENA'!$G:$G,137))</f>
        <v/>
      </c>
      <c r="I392" t="str">
        <f>IF(ISBLANK(INDEX('Milestone Tracker – MENA'!$H:$H,137)),"",INDEX('Milestone Tracker – MENA'!$H:$H,137))</f>
        <v/>
      </c>
      <c r="J392" t="e">
        <f>IF(ISBLANK(INDEX('Milestone Tracker – MENA'!#REF!,137)),"",INDEX('Milestone Tracker – MENA'!#REF!,137))</f>
        <v>#REF!</v>
      </c>
      <c r="K392">
        <f t="shared" si="12"/>
        <v>0</v>
      </c>
      <c r="L392">
        <f t="shared" si="13"/>
        <v>0</v>
      </c>
    </row>
    <row r="393" spans="1:12" x14ac:dyDescent="0.35">
      <c r="A393">
        <v>138</v>
      </c>
      <c r="B393">
        <f>IF(ISBLANK(INDEX('Milestone Tracker – MENA'!$B:$B,138)),B392,INDEX('Milestone Tracker – MENA'!$B:$B,138))</f>
        <v>0</v>
      </c>
      <c r="C393">
        <f>IF(ISBLANK(INDEX('Milestone Tracker – MENA'!$C:$C,138)),C392,INDEX('Milestone Tracker – MENA'!$C:$C,138))</f>
        <v>0</v>
      </c>
      <c r="D393">
        <f>IF(ISBLANK(INDEX('Milestone Tracker – MENA'!$D:$D,138)),D392,INDEX('Milestone Tracker – MENA'!$D:$D,138))</f>
        <v>0</v>
      </c>
      <c r="E393" t="str">
        <f>IF(ISBLANK(INDEX('Milestone Tracker – MENA'!$E:$E,138)),"",INDEX('Milestone Tracker – MENA'!$E:$E,138))</f>
        <v/>
      </c>
      <c r="F393" t="str">
        <f>IF(ISBLANK(INDEX('Milestone Tracker – MENA'!$F:$F,138)),"",INDEX('Milestone Tracker – MENA'!$F:$F,138))</f>
        <v/>
      </c>
      <c r="G393" t="e">
        <f>IF(ISBLANK(INDEX('Milestone Tracker – MENA'!#REF!,138)),"",INDEX('Milestone Tracker – MENA'!#REF!,138))</f>
        <v>#REF!</v>
      </c>
      <c r="H393" t="str">
        <f>IF(ISBLANK(INDEX('Milestone Tracker – MENA'!$G:$G,138)),"",INDEX('Milestone Tracker – MENA'!$G:$G,138))</f>
        <v/>
      </c>
      <c r="I393" t="str">
        <f>IF(ISBLANK(INDEX('Milestone Tracker – MENA'!$H:$H,138)),"",INDEX('Milestone Tracker – MENA'!$H:$H,138))</f>
        <v/>
      </c>
      <c r="J393" t="e">
        <f>IF(ISBLANK(INDEX('Milestone Tracker – MENA'!#REF!,138)),"",INDEX('Milestone Tracker – MENA'!#REF!,138))</f>
        <v>#REF!</v>
      </c>
      <c r="K393">
        <f t="shared" si="12"/>
        <v>0</v>
      </c>
      <c r="L393">
        <f t="shared" si="13"/>
        <v>0</v>
      </c>
    </row>
    <row r="394" spans="1:12" x14ac:dyDescent="0.35">
      <c r="A394">
        <v>139</v>
      </c>
      <c r="B394">
        <f>IF(ISBLANK(INDEX('Milestone Tracker – MENA'!$B:$B,139)),B393,INDEX('Milestone Tracker – MENA'!$B:$B,139))</f>
        <v>0</v>
      </c>
      <c r="C394">
        <f>IF(ISBLANK(INDEX('Milestone Tracker – MENA'!$C:$C,139)),C393,INDEX('Milestone Tracker – MENA'!$C:$C,139))</f>
        <v>0</v>
      </c>
      <c r="D394">
        <f>IF(ISBLANK(INDEX('Milestone Tracker – MENA'!$D:$D,139)),D393,INDEX('Milestone Tracker – MENA'!$D:$D,139))</f>
        <v>0</v>
      </c>
      <c r="E394" t="str">
        <f>IF(ISBLANK(INDEX('Milestone Tracker – MENA'!$E:$E,139)),"",INDEX('Milestone Tracker – MENA'!$E:$E,139))</f>
        <v/>
      </c>
      <c r="F394" t="str">
        <f>IF(ISBLANK(INDEX('Milestone Tracker – MENA'!$F:$F,139)),"",INDEX('Milestone Tracker – MENA'!$F:$F,139))</f>
        <v/>
      </c>
      <c r="G394" t="e">
        <f>IF(ISBLANK(INDEX('Milestone Tracker – MENA'!#REF!,139)),"",INDEX('Milestone Tracker – MENA'!#REF!,139))</f>
        <v>#REF!</v>
      </c>
      <c r="H394" t="str">
        <f>IF(ISBLANK(INDEX('Milestone Tracker – MENA'!$G:$G,139)),"",INDEX('Milestone Tracker – MENA'!$G:$G,139))</f>
        <v/>
      </c>
      <c r="I394" t="str">
        <f>IF(ISBLANK(INDEX('Milestone Tracker – MENA'!$H:$H,139)),"",INDEX('Milestone Tracker – MENA'!$H:$H,139))</f>
        <v/>
      </c>
      <c r="J394" t="e">
        <f>IF(ISBLANK(INDEX('Milestone Tracker – MENA'!#REF!,139)),"",INDEX('Milestone Tracker – MENA'!#REF!,139))</f>
        <v>#REF!</v>
      </c>
      <c r="K394">
        <f t="shared" si="12"/>
        <v>0</v>
      </c>
      <c r="L394">
        <f t="shared" si="13"/>
        <v>0</v>
      </c>
    </row>
    <row r="395" spans="1:12" x14ac:dyDescent="0.35">
      <c r="A395">
        <v>140</v>
      </c>
      <c r="B395">
        <f>IF(ISBLANK(INDEX('Milestone Tracker – MENA'!$B:$B,140)),B394,INDEX('Milestone Tracker – MENA'!$B:$B,140))</f>
        <v>0</v>
      </c>
      <c r="C395">
        <f>IF(ISBLANK(INDEX('Milestone Tracker – MENA'!$C:$C,140)),C394,INDEX('Milestone Tracker – MENA'!$C:$C,140))</f>
        <v>0</v>
      </c>
      <c r="D395">
        <f>IF(ISBLANK(INDEX('Milestone Tracker – MENA'!$D:$D,140)),D394,INDEX('Milestone Tracker – MENA'!$D:$D,140))</f>
        <v>0</v>
      </c>
      <c r="E395" t="str">
        <f>IF(ISBLANK(INDEX('Milestone Tracker – MENA'!$E:$E,140)),"",INDEX('Milestone Tracker – MENA'!$E:$E,140))</f>
        <v/>
      </c>
      <c r="F395" t="str">
        <f>IF(ISBLANK(INDEX('Milestone Tracker – MENA'!$F:$F,140)),"",INDEX('Milestone Tracker – MENA'!$F:$F,140))</f>
        <v/>
      </c>
      <c r="G395" t="e">
        <f>IF(ISBLANK(INDEX('Milestone Tracker – MENA'!#REF!,140)),"",INDEX('Milestone Tracker – MENA'!#REF!,140))</f>
        <v>#REF!</v>
      </c>
      <c r="H395" t="str">
        <f>IF(ISBLANK(INDEX('Milestone Tracker – MENA'!$G:$G,140)),"",INDEX('Milestone Tracker – MENA'!$G:$G,140))</f>
        <v/>
      </c>
      <c r="I395" t="str">
        <f>IF(ISBLANK(INDEX('Milestone Tracker – MENA'!$H:$H,140)),"",INDEX('Milestone Tracker – MENA'!$H:$H,140))</f>
        <v/>
      </c>
      <c r="J395" t="e">
        <f>IF(ISBLANK(INDEX('Milestone Tracker – MENA'!#REF!,140)),"",INDEX('Milestone Tracker – MENA'!#REF!,140))</f>
        <v>#REF!</v>
      </c>
      <c r="K395">
        <f t="shared" si="12"/>
        <v>0</v>
      </c>
      <c r="L395">
        <f t="shared" si="13"/>
        <v>0</v>
      </c>
    </row>
    <row r="396" spans="1:12" x14ac:dyDescent="0.35">
      <c r="A396">
        <v>141</v>
      </c>
      <c r="B396">
        <f>IF(ISBLANK(INDEX('Milestone Tracker – MENA'!$B:$B,141)),B395,INDEX('Milestone Tracker – MENA'!$B:$B,141))</f>
        <v>0</v>
      </c>
      <c r="C396">
        <f>IF(ISBLANK(INDEX('Milestone Tracker – MENA'!$C:$C,141)),C395,INDEX('Milestone Tracker – MENA'!$C:$C,141))</f>
        <v>0</v>
      </c>
      <c r="D396">
        <f>IF(ISBLANK(INDEX('Milestone Tracker – MENA'!$D:$D,141)),D395,INDEX('Milestone Tracker – MENA'!$D:$D,141))</f>
        <v>0</v>
      </c>
      <c r="E396" t="str">
        <f>IF(ISBLANK(INDEX('Milestone Tracker – MENA'!$E:$E,141)),"",INDEX('Milestone Tracker – MENA'!$E:$E,141))</f>
        <v/>
      </c>
      <c r="F396" t="str">
        <f>IF(ISBLANK(INDEX('Milestone Tracker – MENA'!$F:$F,141)),"",INDEX('Milestone Tracker – MENA'!$F:$F,141))</f>
        <v/>
      </c>
      <c r="G396" t="e">
        <f>IF(ISBLANK(INDEX('Milestone Tracker – MENA'!#REF!,141)),"",INDEX('Milestone Tracker – MENA'!#REF!,141))</f>
        <v>#REF!</v>
      </c>
      <c r="H396" t="str">
        <f>IF(ISBLANK(INDEX('Milestone Tracker – MENA'!$G:$G,141)),"",INDEX('Milestone Tracker – MENA'!$G:$G,141))</f>
        <v/>
      </c>
      <c r="I396" t="str">
        <f>IF(ISBLANK(INDEX('Milestone Tracker – MENA'!$H:$H,141)),"",INDEX('Milestone Tracker – MENA'!$H:$H,141))</f>
        <v/>
      </c>
      <c r="J396" t="e">
        <f>IF(ISBLANK(INDEX('Milestone Tracker – MENA'!#REF!,141)),"",INDEX('Milestone Tracker – MENA'!#REF!,141))</f>
        <v>#REF!</v>
      </c>
      <c r="K396">
        <f t="shared" si="12"/>
        <v>0</v>
      </c>
      <c r="L396">
        <f t="shared" si="13"/>
        <v>0</v>
      </c>
    </row>
    <row r="397" spans="1:12" x14ac:dyDescent="0.35">
      <c r="A397">
        <v>142</v>
      </c>
      <c r="B397">
        <f>IF(ISBLANK(INDEX('Milestone Tracker – MENA'!$B:$B,142)),B396,INDEX('Milestone Tracker – MENA'!$B:$B,142))</f>
        <v>0</v>
      </c>
      <c r="C397">
        <f>IF(ISBLANK(INDEX('Milestone Tracker – MENA'!$C:$C,142)),C396,INDEX('Milestone Tracker – MENA'!$C:$C,142))</f>
        <v>0</v>
      </c>
      <c r="D397">
        <f>IF(ISBLANK(INDEX('Milestone Tracker – MENA'!$D:$D,142)),D396,INDEX('Milestone Tracker – MENA'!$D:$D,142))</f>
        <v>0</v>
      </c>
      <c r="E397" t="str">
        <f>IF(ISBLANK(INDEX('Milestone Tracker – MENA'!$E:$E,142)),"",INDEX('Milestone Tracker – MENA'!$E:$E,142))</f>
        <v/>
      </c>
      <c r="F397" t="str">
        <f>IF(ISBLANK(INDEX('Milestone Tracker – MENA'!$F:$F,142)),"",INDEX('Milestone Tracker – MENA'!$F:$F,142))</f>
        <v/>
      </c>
      <c r="G397" t="e">
        <f>IF(ISBLANK(INDEX('Milestone Tracker – MENA'!#REF!,142)),"",INDEX('Milestone Tracker – MENA'!#REF!,142))</f>
        <v>#REF!</v>
      </c>
      <c r="H397" t="str">
        <f>IF(ISBLANK(INDEX('Milestone Tracker – MENA'!$G:$G,142)),"",INDEX('Milestone Tracker – MENA'!$G:$G,142))</f>
        <v/>
      </c>
      <c r="I397" t="str">
        <f>IF(ISBLANK(INDEX('Milestone Tracker – MENA'!$H:$H,142)),"",INDEX('Milestone Tracker – MENA'!$H:$H,142))</f>
        <v/>
      </c>
      <c r="J397" t="e">
        <f>IF(ISBLANK(INDEX('Milestone Tracker – MENA'!#REF!,142)),"",INDEX('Milestone Tracker – MENA'!#REF!,142))</f>
        <v>#REF!</v>
      </c>
      <c r="K397">
        <f t="shared" si="12"/>
        <v>0</v>
      </c>
      <c r="L397">
        <f t="shared" si="13"/>
        <v>0</v>
      </c>
    </row>
    <row r="398" spans="1:12" x14ac:dyDescent="0.35">
      <c r="A398">
        <v>143</v>
      </c>
      <c r="B398">
        <f>IF(ISBLANK(INDEX('Milestone Tracker – MENA'!$B:$B,143)),B397,INDEX('Milestone Tracker – MENA'!$B:$B,143))</f>
        <v>0</v>
      </c>
      <c r="C398">
        <f>IF(ISBLANK(INDEX('Milestone Tracker – MENA'!$C:$C,143)),C397,INDEX('Milestone Tracker – MENA'!$C:$C,143))</f>
        <v>0</v>
      </c>
      <c r="D398">
        <f>IF(ISBLANK(INDEX('Milestone Tracker – MENA'!$D:$D,143)),D397,INDEX('Milestone Tracker – MENA'!$D:$D,143))</f>
        <v>0</v>
      </c>
      <c r="E398" t="str">
        <f>IF(ISBLANK(INDEX('Milestone Tracker – MENA'!$E:$E,143)),"",INDEX('Milestone Tracker – MENA'!$E:$E,143))</f>
        <v/>
      </c>
      <c r="F398" t="str">
        <f>IF(ISBLANK(INDEX('Milestone Tracker – MENA'!$F:$F,143)),"",INDEX('Milestone Tracker – MENA'!$F:$F,143))</f>
        <v/>
      </c>
      <c r="G398" t="e">
        <f>IF(ISBLANK(INDEX('Milestone Tracker – MENA'!#REF!,143)),"",INDEX('Milestone Tracker – MENA'!#REF!,143))</f>
        <v>#REF!</v>
      </c>
      <c r="H398" t="str">
        <f>IF(ISBLANK(INDEX('Milestone Tracker – MENA'!$G:$G,143)),"",INDEX('Milestone Tracker – MENA'!$G:$G,143))</f>
        <v/>
      </c>
      <c r="I398" t="str">
        <f>IF(ISBLANK(INDEX('Milestone Tracker – MENA'!$H:$H,143)),"",INDEX('Milestone Tracker – MENA'!$H:$H,143))</f>
        <v/>
      </c>
      <c r="J398" t="e">
        <f>IF(ISBLANK(INDEX('Milestone Tracker – MENA'!#REF!,143)),"",INDEX('Milestone Tracker – MENA'!#REF!,143))</f>
        <v>#REF!</v>
      </c>
      <c r="K398">
        <f t="shared" si="12"/>
        <v>0</v>
      </c>
      <c r="L398">
        <f t="shared" si="13"/>
        <v>0</v>
      </c>
    </row>
    <row r="399" spans="1:12" x14ac:dyDescent="0.35">
      <c r="A399">
        <v>144</v>
      </c>
      <c r="B399">
        <f>IF(ISBLANK(INDEX('Milestone Tracker – MENA'!$B:$B,144)),B398,INDEX('Milestone Tracker – MENA'!$B:$B,144))</f>
        <v>0</v>
      </c>
      <c r="C399">
        <f>IF(ISBLANK(INDEX('Milestone Tracker – MENA'!$C:$C,144)),C398,INDEX('Milestone Tracker – MENA'!$C:$C,144))</f>
        <v>0</v>
      </c>
      <c r="D399">
        <f>IF(ISBLANK(INDEX('Milestone Tracker – MENA'!$D:$D,144)),D398,INDEX('Milestone Tracker – MENA'!$D:$D,144))</f>
        <v>0</v>
      </c>
      <c r="E399" t="str">
        <f>IF(ISBLANK(INDEX('Milestone Tracker – MENA'!$E:$E,144)),"",INDEX('Milestone Tracker – MENA'!$E:$E,144))</f>
        <v/>
      </c>
      <c r="F399" t="str">
        <f>IF(ISBLANK(INDEX('Milestone Tracker – MENA'!$F:$F,144)),"",INDEX('Milestone Tracker – MENA'!$F:$F,144))</f>
        <v/>
      </c>
      <c r="G399" t="e">
        <f>IF(ISBLANK(INDEX('Milestone Tracker – MENA'!#REF!,144)),"",INDEX('Milestone Tracker – MENA'!#REF!,144))</f>
        <v>#REF!</v>
      </c>
      <c r="H399" t="str">
        <f>IF(ISBLANK(INDEX('Milestone Tracker – MENA'!$G:$G,144)),"",INDEX('Milestone Tracker – MENA'!$G:$G,144))</f>
        <v/>
      </c>
      <c r="I399" t="str">
        <f>IF(ISBLANK(INDEX('Milestone Tracker – MENA'!$H:$H,144)),"",INDEX('Milestone Tracker – MENA'!$H:$H,144))</f>
        <v/>
      </c>
      <c r="J399" t="e">
        <f>IF(ISBLANK(INDEX('Milestone Tracker – MENA'!#REF!,144)),"",INDEX('Milestone Tracker – MENA'!#REF!,144))</f>
        <v>#REF!</v>
      </c>
      <c r="K399">
        <f t="shared" si="12"/>
        <v>0</v>
      </c>
      <c r="L399">
        <f t="shared" si="13"/>
        <v>0</v>
      </c>
    </row>
    <row r="400" spans="1:12" x14ac:dyDescent="0.35">
      <c r="A400">
        <v>145</v>
      </c>
      <c r="B400">
        <f>IF(ISBLANK(INDEX('Milestone Tracker – MENA'!$B:$B,145)),B399,INDEX('Milestone Tracker – MENA'!$B:$B,145))</f>
        <v>0</v>
      </c>
      <c r="C400">
        <f>IF(ISBLANK(INDEX('Milestone Tracker – MENA'!$C:$C,145)),C399,INDEX('Milestone Tracker – MENA'!$C:$C,145))</f>
        <v>0</v>
      </c>
      <c r="D400">
        <f>IF(ISBLANK(INDEX('Milestone Tracker – MENA'!$D:$D,145)),D399,INDEX('Milestone Tracker – MENA'!$D:$D,145))</f>
        <v>0</v>
      </c>
      <c r="E400" t="str">
        <f>IF(ISBLANK(INDEX('Milestone Tracker – MENA'!$E:$E,145)),"",INDEX('Milestone Tracker – MENA'!$E:$E,145))</f>
        <v/>
      </c>
      <c r="F400" t="str">
        <f>IF(ISBLANK(INDEX('Milestone Tracker – MENA'!$F:$F,145)),"",INDEX('Milestone Tracker – MENA'!$F:$F,145))</f>
        <v/>
      </c>
      <c r="G400" t="e">
        <f>IF(ISBLANK(INDEX('Milestone Tracker – MENA'!#REF!,145)),"",INDEX('Milestone Tracker – MENA'!#REF!,145))</f>
        <v>#REF!</v>
      </c>
      <c r="H400" t="str">
        <f>IF(ISBLANK(INDEX('Milestone Tracker – MENA'!$G:$G,145)),"",INDEX('Milestone Tracker – MENA'!$G:$G,145))</f>
        <v/>
      </c>
      <c r="I400" t="str">
        <f>IF(ISBLANK(INDEX('Milestone Tracker – MENA'!$H:$H,145)),"",INDEX('Milestone Tracker – MENA'!$H:$H,145))</f>
        <v/>
      </c>
      <c r="J400" t="e">
        <f>IF(ISBLANK(INDEX('Milestone Tracker – MENA'!#REF!,145)),"",INDEX('Milestone Tracker – MENA'!#REF!,145))</f>
        <v>#REF!</v>
      </c>
      <c r="K400">
        <f t="shared" si="12"/>
        <v>0</v>
      </c>
      <c r="L400">
        <f t="shared" si="13"/>
        <v>0</v>
      </c>
    </row>
    <row r="401" spans="1:12" x14ac:dyDescent="0.35">
      <c r="A401">
        <v>146</v>
      </c>
      <c r="B401">
        <f>IF(ISBLANK(INDEX('Milestone Tracker – MENA'!$B:$B,146)),B400,INDEX('Milestone Tracker – MENA'!$B:$B,146))</f>
        <v>0</v>
      </c>
      <c r="C401">
        <f>IF(ISBLANK(INDEX('Milestone Tracker – MENA'!$C:$C,146)),C400,INDEX('Milestone Tracker – MENA'!$C:$C,146))</f>
        <v>0</v>
      </c>
      <c r="D401">
        <f>IF(ISBLANK(INDEX('Milestone Tracker – MENA'!$D:$D,146)),D400,INDEX('Milestone Tracker – MENA'!$D:$D,146))</f>
        <v>0</v>
      </c>
      <c r="E401" t="str">
        <f>IF(ISBLANK(INDEX('Milestone Tracker – MENA'!$E:$E,146)),"",INDEX('Milestone Tracker – MENA'!$E:$E,146))</f>
        <v/>
      </c>
      <c r="F401" t="str">
        <f>IF(ISBLANK(INDEX('Milestone Tracker – MENA'!$F:$F,146)),"",INDEX('Milestone Tracker – MENA'!$F:$F,146))</f>
        <v/>
      </c>
      <c r="G401" t="e">
        <f>IF(ISBLANK(INDEX('Milestone Tracker – MENA'!#REF!,146)),"",INDEX('Milestone Tracker – MENA'!#REF!,146))</f>
        <v>#REF!</v>
      </c>
      <c r="H401" t="str">
        <f>IF(ISBLANK(INDEX('Milestone Tracker – MENA'!$G:$G,146)),"",INDEX('Milestone Tracker – MENA'!$G:$G,146))</f>
        <v/>
      </c>
      <c r="I401" t="str">
        <f>IF(ISBLANK(INDEX('Milestone Tracker – MENA'!$H:$H,146)),"",INDEX('Milestone Tracker – MENA'!$H:$H,146))</f>
        <v/>
      </c>
      <c r="J401" t="e">
        <f>IF(ISBLANK(INDEX('Milestone Tracker – MENA'!#REF!,146)),"",INDEX('Milestone Tracker – MENA'!#REF!,146))</f>
        <v>#REF!</v>
      </c>
      <c r="K401">
        <f t="shared" si="12"/>
        <v>0</v>
      </c>
      <c r="L401">
        <f t="shared" si="13"/>
        <v>0</v>
      </c>
    </row>
    <row r="402" spans="1:12" x14ac:dyDescent="0.35">
      <c r="A402">
        <v>147</v>
      </c>
      <c r="B402">
        <f>IF(ISBLANK(INDEX('Milestone Tracker – MENA'!$B:$B,147)),B401,INDEX('Milestone Tracker – MENA'!$B:$B,147))</f>
        <v>0</v>
      </c>
      <c r="C402">
        <f>IF(ISBLANK(INDEX('Milestone Tracker – MENA'!$C:$C,147)),C401,INDEX('Milestone Tracker – MENA'!$C:$C,147))</f>
        <v>0</v>
      </c>
      <c r="D402">
        <f>IF(ISBLANK(INDEX('Milestone Tracker – MENA'!$D:$D,147)),D401,INDEX('Milestone Tracker – MENA'!$D:$D,147))</f>
        <v>0</v>
      </c>
      <c r="E402" t="str">
        <f>IF(ISBLANK(INDEX('Milestone Tracker – MENA'!$E:$E,147)),"",INDEX('Milestone Tracker – MENA'!$E:$E,147))</f>
        <v/>
      </c>
      <c r="F402" t="str">
        <f>IF(ISBLANK(INDEX('Milestone Tracker – MENA'!$F:$F,147)),"",INDEX('Milestone Tracker – MENA'!$F:$F,147))</f>
        <v/>
      </c>
      <c r="G402" t="e">
        <f>IF(ISBLANK(INDEX('Milestone Tracker – MENA'!#REF!,147)),"",INDEX('Milestone Tracker – MENA'!#REF!,147))</f>
        <v>#REF!</v>
      </c>
      <c r="H402" t="str">
        <f>IF(ISBLANK(INDEX('Milestone Tracker – MENA'!$G:$G,147)),"",INDEX('Milestone Tracker – MENA'!$G:$G,147))</f>
        <v/>
      </c>
      <c r="I402" t="str">
        <f>IF(ISBLANK(INDEX('Milestone Tracker – MENA'!$H:$H,147)),"",INDEX('Milestone Tracker – MENA'!$H:$H,147))</f>
        <v/>
      </c>
      <c r="J402" t="e">
        <f>IF(ISBLANK(INDEX('Milestone Tracker – MENA'!#REF!,147)),"",INDEX('Milestone Tracker – MENA'!#REF!,147))</f>
        <v>#REF!</v>
      </c>
      <c r="K402">
        <f t="shared" si="12"/>
        <v>0</v>
      </c>
      <c r="L402">
        <f t="shared" si="13"/>
        <v>0</v>
      </c>
    </row>
    <row r="403" spans="1:12" x14ac:dyDescent="0.35">
      <c r="A403">
        <v>148</v>
      </c>
      <c r="B403">
        <f>IF(ISBLANK(INDEX('Milestone Tracker – MENA'!$B:$B,148)),B402,INDEX('Milestone Tracker – MENA'!$B:$B,148))</f>
        <v>0</v>
      </c>
      <c r="C403">
        <f>IF(ISBLANK(INDEX('Milestone Tracker – MENA'!$C:$C,148)),C402,INDEX('Milestone Tracker – MENA'!$C:$C,148))</f>
        <v>0</v>
      </c>
      <c r="D403">
        <f>IF(ISBLANK(INDEX('Milestone Tracker – MENA'!$D:$D,148)),D402,INDEX('Milestone Tracker – MENA'!$D:$D,148))</f>
        <v>0</v>
      </c>
      <c r="E403" t="str">
        <f>IF(ISBLANK(INDEX('Milestone Tracker – MENA'!$E:$E,148)),"",INDEX('Milestone Tracker – MENA'!$E:$E,148))</f>
        <v/>
      </c>
      <c r="F403" t="str">
        <f>IF(ISBLANK(INDEX('Milestone Tracker – MENA'!$F:$F,148)),"",INDEX('Milestone Tracker – MENA'!$F:$F,148))</f>
        <v/>
      </c>
      <c r="G403" t="e">
        <f>IF(ISBLANK(INDEX('Milestone Tracker – MENA'!#REF!,148)),"",INDEX('Milestone Tracker – MENA'!#REF!,148))</f>
        <v>#REF!</v>
      </c>
      <c r="H403" t="str">
        <f>IF(ISBLANK(INDEX('Milestone Tracker – MENA'!$G:$G,148)),"",INDEX('Milestone Tracker – MENA'!$G:$G,148))</f>
        <v/>
      </c>
      <c r="I403" t="str">
        <f>IF(ISBLANK(INDEX('Milestone Tracker – MENA'!$H:$H,148)),"",INDEX('Milestone Tracker – MENA'!$H:$H,148))</f>
        <v/>
      </c>
      <c r="J403" t="e">
        <f>IF(ISBLANK(INDEX('Milestone Tracker – MENA'!#REF!,148)),"",INDEX('Milestone Tracker – MENA'!#REF!,148))</f>
        <v>#REF!</v>
      </c>
      <c r="K403">
        <f t="shared" si="12"/>
        <v>0</v>
      </c>
      <c r="L403">
        <f t="shared" si="13"/>
        <v>0</v>
      </c>
    </row>
    <row r="404" spans="1:12" x14ac:dyDescent="0.35">
      <c r="A404">
        <v>149</v>
      </c>
      <c r="B404">
        <f>IF(ISBLANK(INDEX('Milestone Tracker – MENA'!$B:$B,149)),B403,INDEX('Milestone Tracker – MENA'!$B:$B,149))</f>
        <v>0</v>
      </c>
      <c r="C404">
        <f>IF(ISBLANK(INDEX('Milestone Tracker – MENA'!$C:$C,149)),C403,INDEX('Milestone Tracker – MENA'!$C:$C,149))</f>
        <v>0</v>
      </c>
      <c r="D404">
        <f>IF(ISBLANK(INDEX('Milestone Tracker – MENA'!$D:$D,149)),D403,INDEX('Milestone Tracker – MENA'!$D:$D,149))</f>
        <v>0</v>
      </c>
      <c r="E404" t="str">
        <f>IF(ISBLANK(INDEX('Milestone Tracker – MENA'!$E:$E,149)),"",INDEX('Milestone Tracker – MENA'!$E:$E,149))</f>
        <v/>
      </c>
      <c r="F404" t="str">
        <f>IF(ISBLANK(INDEX('Milestone Tracker – MENA'!$F:$F,149)),"",INDEX('Milestone Tracker – MENA'!$F:$F,149))</f>
        <v/>
      </c>
      <c r="G404" t="e">
        <f>IF(ISBLANK(INDEX('Milestone Tracker – MENA'!#REF!,149)),"",INDEX('Milestone Tracker – MENA'!#REF!,149))</f>
        <v>#REF!</v>
      </c>
      <c r="H404" t="str">
        <f>IF(ISBLANK(INDEX('Milestone Tracker – MENA'!$G:$G,149)),"",INDEX('Milestone Tracker – MENA'!$G:$G,149))</f>
        <v/>
      </c>
      <c r="I404" t="str">
        <f>IF(ISBLANK(INDEX('Milestone Tracker – MENA'!$H:$H,149)),"",INDEX('Milestone Tracker – MENA'!$H:$H,149))</f>
        <v/>
      </c>
      <c r="J404" t="e">
        <f>IF(ISBLANK(INDEX('Milestone Tracker – MENA'!#REF!,149)),"",INDEX('Milestone Tracker – MENA'!#REF!,149))</f>
        <v>#REF!</v>
      </c>
      <c r="K404">
        <f t="shared" si="12"/>
        <v>0</v>
      </c>
      <c r="L404">
        <f t="shared" si="13"/>
        <v>0</v>
      </c>
    </row>
    <row r="405" spans="1:12" x14ac:dyDescent="0.35">
      <c r="A405">
        <v>150</v>
      </c>
      <c r="B405">
        <f>IF(ISBLANK(INDEX('Milestone Tracker – MENA'!$B:$B,150)),B404,INDEX('Milestone Tracker – MENA'!$B:$B,150))</f>
        <v>0</v>
      </c>
      <c r="C405">
        <f>IF(ISBLANK(INDEX('Milestone Tracker – MENA'!$C:$C,150)),C404,INDEX('Milestone Tracker – MENA'!$C:$C,150))</f>
        <v>0</v>
      </c>
      <c r="D405">
        <f>IF(ISBLANK(INDEX('Milestone Tracker – MENA'!$D:$D,150)),D404,INDEX('Milestone Tracker – MENA'!$D:$D,150))</f>
        <v>0</v>
      </c>
      <c r="E405" t="str">
        <f>IF(ISBLANK(INDEX('Milestone Tracker – MENA'!$E:$E,150)),"",INDEX('Milestone Tracker – MENA'!$E:$E,150))</f>
        <v/>
      </c>
      <c r="F405" t="str">
        <f>IF(ISBLANK(INDEX('Milestone Tracker – MENA'!$F:$F,150)),"",INDEX('Milestone Tracker – MENA'!$F:$F,150))</f>
        <v/>
      </c>
      <c r="G405" t="e">
        <f>IF(ISBLANK(INDEX('Milestone Tracker – MENA'!#REF!,150)),"",INDEX('Milestone Tracker – MENA'!#REF!,150))</f>
        <v>#REF!</v>
      </c>
      <c r="H405" t="str">
        <f>IF(ISBLANK(INDEX('Milestone Tracker – MENA'!$G:$G,150)),"",INDEX('Milestone Tracker – MENA'!$G:$G,150))</f>
        <v/>
      </c>
      <c r="I405" t="str">
        <f>IF(ISBLANK(INDEX('Milestone Tracker – MENA'!$H:$H,150)),"",INDEX('Milestone Tracker – MENA'!$H:$H,150))</f>
        <v/>
      </c>
      <c r="J405" t="e">
        <f>IF(ISBLANK(INDEX('Milestone Tracker – MENA'!#REF!,150)),"",INDEX('Milestone Tracker – MENA'!#REF!,150))</f>
        <v>#REF!</v>
      </c>
      <c r="K405">
        <f t="shared" si="12"/>
        <v>0</v>
      </c>
      <c r="L405">
        <f t="shared" si="13"/>
        <v>0</v>
      </c>
    </row>
    <row r="406" spans="1:12" x14ac:dyDescent="0.35">
      <c r="A406">
        <v>151</v>
      </c>
      <c r="B406">
        <f>IF(ISBLANK(INDEX('Milestone Tracker – MENA'!$B:$B,151)),B405,INDEX('Milestone Tracker – MENA'!$B:$B,151))</f>
        <v>0</v>
      </c>
      <c r="C406">
        <f>IF(ISBLANK(INDEX('Milestone Tracker – MENA'!$C:$C,151)),C405,INDEX('Milestone Tracker – MENA'!$C:$C,151))</f>
        <v>0</v>
      </c>
      <c r="D406">
        <f>IF(ISBLANK(INDEX('Milestone Tracker – MENA'!$D:$D,151)),D405,INDEX('Milestone Tracker – MENA'!$D:$D,151))</f>
        <v>0</v>
      </c>
      <c r="E406" t="str">
        <f>IF(ISBLANK(INDEX('Milestone Tracker – MENA'!$E:$E,151)),"",INDEX('Milestone Tracker – MENA'!$E:$E,151))</f>
        <v/>
      </c>
      <c r="F406" t="str">
        <f>IF(ISBLANK(INDEX('Milestone Tracker – MENA'!$F:$F,151)),"",INDEX('Milestone Tracker – MENA'!$F:$F,151))</f>
        <v/>
      </c>
      <c r="G406" t="e">
        <f>IF(ISBLANK(INDEX('Milestone Tracker – MENA'!#REF!,151)),"",INDEX('Milestone Tracker – MENA'!#REF!,151))</f>
        <v>#REF!</v>
      </c>
      <c r="H406" t="str">
        <f>IF(ISBLANK(INDEX('Milestone Tracker – MENA'!$G:$G,151)),"",INDEX('Milestone Tracker – MENA'!$G:$G,151))</f>
        <v/>
      </c>
      <c r="I406" t="str">
        <f>IF(ISBLANK(INDEX('Milestone Tracker – MENA'!$H:$H,151)),"",INDEX('Milestone Tracker – MENA'!$H:$H,151))</f>
        <v/>
      </c>
      <c r="J406" t="e">
        <f>IF(ISBLANK(INDEX('Milestone Tracker – MENA'!#REF!,151)),"",INDEX('Milestone Tracker – MENA'!#REF!,151))</f>
        <v>#REF!</v>
      </c>
      <c r="K406">
        <f t="shared" si="12"/>
        <v>0</v>
      </c>
      <c r="L406">
        <f t="shared" si="13"/>
        <v>0</v>
      </c>
    </row>
    <row r="407" spans="1:12" x14ac:dyDescent="0.35">
      <c r="A407">
        <v>152</v>
      </c>
      <c r="B407">
        <f>IF(ISBLANK(INDEX('Milestone Tracker – MENA'!$B:$B,152)),B406,INDEX('Milestone Tracker – MENA'!$B:$B,152))</f>
        <v>0</v>
      </c>
      <c r="C407">
        <f>IF(ISBLANK(INDEX('Milestone Tracker – MENA'!$C:$C,152)),C406,INDEX('Milestone Tracker – MENA'!$C:$C,152))</f>
        <v>0</v>
      </c>
      <c r="D407">
        <f>IF(ISBLANK(INDEX('Milestone Tracker – MENA'!$D:$D,152)),D406,INDEX('Milestone Tracker – MENA'!$D:$D,152))</f>
        <v>0</v>
      </c>
      <c r="E407" t="str">
        <f>IF(ISBLANK(INDEX('Milestone Tracker – MENA'!$E:$E,152)),"",INDEX('Milestone Tracker – MENA'!$E:$E,152))</f>
        <v/>
      </c>
      <c r="F407" t="str">
        <f>IF(ISBLANK(INDEX('Milestone Tracker – MENA'!$F:$F,152)),"",INDEX('Milestone Tracker – MENA'!$F:$F,152))</f>
        <v/>
      </c>
      <c r="G407" t="e">
        <f>IF(ISBLANK(INDEX('Milestone Tracker – MENA'!#REF!,152)),"",INDEX('Milestone Tracker – MENA'!#REF!,152))</f>
        <v>#REF!</v>
      </c>
      <c r="H407" t="str">
        <f>IF(ISBLANK(INDEX('Milestone Tracker – MENA'!$G:$G,152)),"",INDEX('Milestone Tracker – MENA'!$G:$G,152))</f>
        <v/>
      </c>
      <c r="I407" t="str">
        <f>IF(ISBLANK(INDEX('Milestone Tracker – MENA'!$H:$H,152)),"",INDEX('Milestone Tracker – MENA'!$H:$H,152))</f>
        <v/>
      </c>
      <c r="J407" t="e">
        <f>IF(ISBLANK(INDEX('Milestone Tracker – MENA'!#REF!,152)),"",INDEX('Milestone Tracker – MENA'!#REF!,152))</f>
        <v>#REF!</v>
      </c>
      <c r="K407">
        <f t="shared" si="12"/>
        <v>0</v>
      </c>
      <c r="L407">
        <f t="shared" si="13"/>
        <v>0</v>
      </c>
    </row>
    <row r="408" spans="1:12" x14ac:dyDescent="0.35">
      <c r="A408">
        <v>153</v>
      </c>
      <c r="B408">
        <f>IF(ISBLANK(INDEX('Milestone Tracker – MENA'!$B:$B,153)),B407,INDEX('Milestone Tracker – MENA'!$B:$B,153))</f>
        <v>0</v>
      </c>
      <c r="C408">
        <f>IF(ISBLANK(INDEX('Milestone Tracker – MENA'!$C:$C,153)),C407,INDEX('Milestone Tracker – MENA'!$C:$C,153))</f>
        <v>0</v>
      </c>
      <c r="D408">
        <f>IF(ISBLANK(INDEX('Milestone Tracker – MENA'!$D:$D,153)),D407,INDEX('Milestone Tracker – MENA'!$D:$D,153))</f>
        <v>0</v>
      </c>
      <c r="E408" t="str">
        <f>IF(ISBLANK(INDEX('Milestone Tracker – MENA'!$E:$E,153)),"",INDEX('Milestone Tracker – MENA'!$E:$E,153))</f>
        <v/>
      </c>
      <c r="F408" t="str">
        <f>IF(ISBLANK(INDEX('Milestone Tracker – MENA'!$F:$F,153)),"",INDEX('Milestone Tracker – MENA'!$F:$F,153))</f>
        <v/>
      </c>
      <c r="G408" t="e">
        <f>IF(ISBLANK(INDEX('Milestone Tracker – MENA'!#REF!,153)),"",INDEX('Milestone Tracker – MENA'!#REF!,153))</f>
        <v>#REF!</v>
      </c>
      <c r="H408" t="str">
        <f>IF(ISBLANK(INDEX('Milestone Tracker – MENA'!$G:$G,153)),"",INDEX('Milestone Tracker – MENA'!$G:$G,153))</f>
        <v/>
      </c>
      <c r="I408" t="str">
        <f>IF(ISBLANK(INDEX('Milestone Tracker – MENA'!$H:$H,153)),"",INDEX('Milestone Tracker – MENA'!$H:$H,153))</f>
        <v/>
      </c>
      <c r="J408" t="e">
        <f>IF(ISBLANK(INDEX('Milestone Tracker – MENA'!#REF!,153)),"",INDEX('Milestone Tracker – MENA'!#REF!,153))</f>
        <v>#REF!</v>
      </c>
      <c r="K408">
        <f t="shared" si="12"/>
        <v>0</v>
      </c>
      <c r="L408">
        <f t="shared" si="13"/>
        <v>0</v>
      </c>
    </row>
    <row r="409" spans="1:12" x14ac:dyDescent="0.35">
      <c r="A409">
        <v>154</v>
      </c>
      <c r="B409">
        <f>IF(ISBLANK(INDEX('Milestone Tracker – MENA'!$B:$B,154)),B408,INDEX('Milestone Tracker – MENA'!$B:$B,154))</f>
        <v>0</v>
      </c>
      <c r="C409">
        <f>IF(ISBLANK(INDEX('Milestone Tracker – MENA'!$C:$C,154)),C408,INDEX('Milestone Tracker – MENA'!$C:$C,154))</f>
        <v>0</v>
      </c>
      <c r="D409">
        <f>IF(ISBLANK(INDEX('Milestone Tracker – MENA'!$D:$D,154)),D408,INDEX('Milestone Tracker – MENA'!$D:$D,154))</f>
        <v>0</v>
      </c>
      <c r="E409" t="str">
        <f>IF(ISBLANK(INDEX('Milestone Tracker – MENA'!$E:$E,154)),"",INDEX('Milestone Tracker – MENA'!$E:$E,154))</f>
        <v/>
      </c>
      <c r="F409" t="str">
        <f>IF(ISBLANK(INDEX('Milestone Tracker – MENA'!$F:$F,154)),"",INDEX('Milestone Tracker – MENA'!$F:$F,154))</f>
        <v/>
      </c>
      <c r="G409" t="e">
        <f>IF(ISBLANK(INDEX('Milestone Tracker – MENA'!#REF!,154)),"",INDEX('Milestone Tracker – MENA'!#REF!,154))</f>
        <v>#REF!</v>
      </c>
      <c r="H409" t="str">
        <f>IF(ISBLANK(INDEX('Milestone Tracker – MENA'!$G:$G,154)),"",INDEX('Milestone Tracker – MENA'!$G:$G,154))</f>
        <v/>
      </c>
      <c r="I409" t="str">
        <f>IF(ISBLANK(INDEX('Milestone Tracker – MENA'!$H:$H,154)),"",INDEX('Milestone Tracker – MENA'!$H:$H,154))</f>
        <v/>
      </c>
      <c r="J409" t="e">
        <f>IF(ISBLANK(INDEX('Milestone Tracker – MENA'!#REF!,154)),"",INDEX('Milestone Tracker – MENA'!#REF!,154))</f>
        <v>#REF!</v>
      </c>
      <c r="K409">
        <f t="shared" si="12"/>
        <v>0</v>
      </c>
      <c r="L409">
        <f t="shared" si="13"/>
        <v>0</v>
      </c>
    </row>
    <row r="410" spans="1:12" x14ac:dyDescent="0.35">
      <c r="A410">
        <v>155</v>
      </c>
      <c r="B410">
        <f>IF(ISBLANK(INDEX('Milestone Tracker – MENA'!$B:$B,155)),B409,INDEX('Milestone Tracker – MENA'!$B:$B,155))</f>
        <v>0</v>
      </c>
      <c r="C410">
        <f>IF(ISBLANK(INDEX('Milestone Tracker – MENA'!$C:$C,155)),C409,INDEX('Milestone Tracker – MENA'!$C:$C,155))</f>
        <v>0</v>
      </c>
      <c r="D410">
        <f>IF(ISBLANK(INDEX('Milestone Tracker – MENA'!$D:$D,155)),D409,INDEX('Milestone Tracker – MENA'!$D:$D,155))</f>
        <v>0</v>
      </c>
      <c r="E410" t="str">
        <f>IF(ISBLANK(INDEX('Milestone Tracker – MENA'!$E:$E,155)),"",INDEX('Milestone Tracker – MENA'!$E:$E,155))</f>
        <v/>
      </c>
      <c r="F410" t="str">
        <f>IF(ISBLANK(INDEX('Milestone Tracker – MENA'!$F:$F,155)),"",INDEX('Milestone Tracker – MENA'!$F:$F,155))</f>
        <v/>
      </c>
      <c r="G410" t="e">
        <f>IF(ISBLANK(INDEX('Milestone Tracker – MENA'!#REF!,155)),"",INDEX('Milestone Tracker – MENA'!#REF!,155))</f>
        <v>#REF!</v>
      </c>
      <c r="H410" t="str">
        <f>IF(ISBLANK(INDEX('Milestone Tracker – MENA'!$G:$G,155)),"",INDEX('Milestone Tracker – MENA'!$G:$G,155))</f>
        <v/>
      </c>
      <c r="I410" t="str">
        <f>IF(ISBLANK(INDEX('Milestone Tracker – MENA'!$H:$H,155)),"",INDEX('Milestone Tracker – MENA'!$H:$H,155))</f>
        <v/>
      </c>
      <c r="J410" t="e">
        <f>IF(ISBLANK(INDEX('Milestone Tracker – MENA'!#REF!,155)),"",INDEX('Milestone Tracker – MENA'!#REF!,155))</f>
        <v>#REF!</v>
      </c>
      <c r="K410">
        <f t="shared" si="12"/>
        <v>0</v>
      </c>
      <c r="L410">
        <f t="shared" si="13"/>
        <v>0</v>
      </c>
    </row>
    <row r="411" spans="1:12" x14ac:dyDescent="0.35">
      <c r="A411">
        <v>156</v>
      </c>
      <c r="B411">
        <f>IF(ISBLANK(INDEX('Milestone Tracker – MENA'!$B:$B,156)),B410,INDEX('Milestone Tracker – MENA'!$B:$B,156))</f>
        <v>0</v>
      </c>
      <c r="C411">
        <f>IF(ISBLANK(INDEX('Milestone Tracker – MENA'!$C:$C,156)),C410,INDEX('Milestone Tracker – MENA'!$C:$C,156))</f>
        <v>0</v>
      </c>
      <c r="D411">
        <f>IF(ISBLANK(INDEX('Milestone Tracker – MENA'!$D:$D,156)),D410,INDEX('Milestone Tracker – MENA'!$D:$D,156))</f>
        <v>0</v>
      </c>
      <c r="E411" t="str">
        <f>IF(ISBLANK(INDEX('Milestone Tracker – MENA'!$E:$E,156)),"",INDEX('Milestone Tracker – MENA'!$E:$E,156))</f>
        <v/>
      </c>
      <c r="F411" t="str">
        <f>IF(ISBLANK(INDEX('Milestone Tracker – MENA'!$F:$F,156)),"",INDEX('Milestone Tracker – MENA'!$F:$F,156))</f>
        <v/>
      </c>
      <c r="G411" t="e">
        <f>IF(ISBLANK(INDEX('Milestone Tracker – MENA'!#REF!,156)),"",INDEX('Milestone Tracker – MENA'!#REF!,156))</f>
        <v>#REF!</v>
      </c>
      <c r="H411" t="str">
        <f>IF(ISBLANK(INDEX('Milestone Tracker – MENA'!$G:$G,156)),"",INDEX('Milestone Tracker – MENA'!$G:$G,156))</f>
        <v/>
      </c>
      <c r="I411" t="str">
        <f>IF(ISBLANK(INDEX('Milestone Tracker – MENA'!$H:$H,156)),"",INDEX('Milestone Tracker – MENA'!$H:$H,156))</f>
        <v/>
      </c>
      <c r="J411" t="e">
        <f>IF(ISBLANK(INDEX('Milestone Tracker – MENA'!#REF!,156)),"",INDEX('Milestone Tracker – MENA'!#REF!,156))</f>
        <v>#REF!</v>
      </c>
      <c r="K411">
        <f t="shared" si="12"/>
        <v>0</v>
      </c>
      <c r="L411">
        <f t="shared" si="13"/>
        <v>0</v>
      </c>
    </row>
    <row r="412" spans="1:12" x14ac:dyDescent="0.35">
      <c r="A412">
        <v>157</v>
      </c>
      <c r="B412">
        <f>IF(ISBLANK(INDEX('Milestone Tracker – MENA'!$B:$B,157)),B411,INDEX('Milestone Tracker – MENA'!$B:$B,157))</f>
        <v>0</v>
      </c>
      <c r="C412">
        <f>IF(ISBLANK(INDEX('Milestone Tracker – MENA'!$C:$C,157)),C411,INDEX('Milestone Tracker – MENA'!$C:$C,157))</f>
        <v>0</v>
      </c>
      <c r="D412">
        <f>IF(ISBLANK(INDEX('Milestone Tracker – MENA'!$D:$D,157)),D411,INDEX('Milestone Tracker – MENA'!$D:$D,157))</f>
        <v>0</v>
      </c>
      <c r="E412" t="str">
        <f>IF(ISBLANK(INDEX('Milestone Tracker – MENA'!$E:$E,157)),"",INDEX('Milestone Tracker – MENA'!$E:$E,157))</f>
        <v/>
      </c>
      <c r="F412" t="str">
        <f>IF(ISBLANK(INDEX('Milestone Tracker – MENA'!$F:$F,157)),"",INDEX('Milestone Tracker – MENA'!$F:$F,157))</f>
        <v/>
      </c>
      <c r="G412" t="e">
        <f>IF(ISBLANK(INDEX('Milestone Tracker – MENA'!#REF!,157)),"",INDEX('Milestone Tracker – MENA'!#REF!,157))</f>
        <v>#REF!</v>
      </c>
      <c r="H412" t="str">
        <f>IF(ISBLANK(INDEX('Milestone Tracker – MENA'!$G:$G,157)),"",INDEX('Milestone Tracker – MENA'!$G:$G,157))</f>
        <v/>
      </c>
      <c r="I412" t="str">
        <f>IF(ISBLANK(INDEX('Milestone Tracker – MENA'!$H:$H,157)),"",INDEX('Milestone Tracker – MENA'!$H:$H,157))</f>
        <v/>
      </c>
      <c r="J412" t="e">
        <f>IF(ISBLANK(INDEX('Milestone Tracker – MENA'!#REF!,157)),"",INDEX('Milestone Tracker – MENA'!#REF!,157))</f>
        <v>#REF!</v>
      </c>
      <c r="K412">
        <f t="shared" si="12"/>
        <v>0</v>
      </c>
      <c r="L412">
        <f t="shared" si="13"/>
        <v>0</v>
      </c>
    </row>
    <row r="413" spans="1:12" x14ac:dyDescent="0.35">
      <c r="A413">
        <v>158</v>
      </c>
      <c r="B413">
        <f>IF(ISBLANK(INDEX('Milestone Tracker – MENA'!$B:$B,158)),B412,INDEX('Milestone Tracker – MENA'!$B:$B,158))</f>
        <v>0</v>
      </c>
      <c r="C413">
        <f>IF(ISBLANK(INDEX('Milestone Tracker – MENA'!$C:$C,158)),C412,INDEX('Milestone Tracker – MENA'!$C:$C,158))</f>
        <v>0</v>
      </c>
      <c r="D413">
        <f>IF(ISBLANK(INDEX('Milestone Tracker – MENA'!$D:$D,158)),D412,INDEX('Milestone Tracker – MENA'!$D:$D,158))</f>
        <v>0</v>
      </c>
      <c r="E413" t="str">
        <f>IF(ISBLANK(INDEX('Milestone Tracker – MENA'!$E:$E,158)),"",INDEX('Milestone Tracker – MENA'!$E:$E,158))</f>
        <v/>
      </c>
      <c r="F413" t="str">
        <f>IF(ISBLANK(INDEX('Milestone Tracker – MENA'!$F:$F,158)),"",INDEX('Milestone Tracker – MENA'!$F:$F,158))</f>
        <v/>
      </c>
      <c r="G413" t="e">
        <f>IF(ISBLANK(INDEX('Milestone Tracker – MENA'!#REF!,158)),"",INDEX('Milestone Tracker – MENA'!#REF!,158))</f>
        <v>#REF!</v>
      </c>
      <c r="H413" t="str">
        <f>IF(ISBLANK(INDEX('Milestone Tracker – MENA'!$G:$G,158)),"",INDEX('Milestone Tracker – MENA'!$G:$G,158))</f>
        <v/>
      </c>
      <c r="I413" t="str">
        <f>IF(ISBLANK(INDEX('Milestone Tracker – MENA'!$H:$H,158)),"",INDEX('Milestone Tracker – MENA'!$H:$H,158))</f>
        <v/>
      </c>
      <c r="J413" t="e">
        <f>IF(ISBLANK(INDEX('Milestone Tracker – MENA'!#REF!,158)),"",INDEX('Milestone Tracker – MENA'!#REF!,158))</f>
        <v>#REF!</v>
      </c>
      <c r="K413">
        <f t="shared" si="12"/>
        <v>0</v>
      </c>
      <c r="L413">
        <f t="shared" si="13"/>
        <v>0</v>
      </c>
    </row>
    <row r="414" spans="1:12" x14ac:dyDescent="0.35">
      <c r="A414">
        <v>159</v>
      </c>
      <c r="B414">
        <f>IF(ISBLANK(INDEX('Milestone Tracker – MENA'!$B:$B,159)),B413,INDEX('Milestone Tracker – MENA'!$B:$B,159))</f>
        <v>0</v>
      </c>
      <c r="C414">
        <f>IF(ISBLANK(INDEX('Milestone Tracker – MENA'!$C:$C,159)),C413,INDEX('Milestone Tracker – MENA'!$C:$C,159))</f>
        <v>0</v>
      </c>
      <c r="D414">
        <f>IF(ISBLANK(INDEX('Milestone Tracker – MENA'!$D:$D,159)),D413,INDEX('Milestone Tracker – MENA'!$D:$D,159))</f>
        <v>0</v>
      </c>
      <c r="E414" t="str">
        <f>IF(ISBLANK(INDEX('Milestone Tracker – MENA'!$E:$E,159)),"",INDEX('Milestone Tracker – MENA'!$E:$E,159))</f>
        <v/>
      </c>
      <c r="F414" t="str">
        <f>IF(ISBLANK(INDEX('Milestone Tracker – MENA'!$F:$F,159)),"",INDEX('Milestone Tracker – MENA'!$F:$F,159))</f>
        <v/>
      </c>
      <c r="G414" t="e">
        <f>IF(ISBLANK(INDEX('Milestone Tracker – MENA'!#REF!,159)),"",INDEX('Milestone Tracker – MENA'!#REF!,159))</f>
        <v>#REF!</v>
      </c>
      <c r="H414" t="str">
        <f>IF(ISBLANK(INDEX('Milestone Tracker – MENA'!$G:$G,159)),"",INDEX('Milestone Tracker – MENA'!$G:$G,159))</f>
        <v/>
      </c>
      <c r="I414" t="str">
        <f>IF(ISBLANK(INDEX('Milestone Tracker – MENA'!$H:$H,159)),"",INDEX('Milestone Tracker – MENA'!$H:$H,159))</f>
        <v/>
      </c>
      <c r="J414" t="e">
        <f>IF(ISBLANK(INDEX('Milestone Tracker – MENA'!#REF!,159)),"",INDEX('Milestone Tracker – MENA'!#REF!,159))</f>
        <v>#REF!</v>
      </c>
      <c r="K414">
        <f t="shared" si="12"/>
        <v>0</v>
      </c>
      <c r="L414">
        <f t="shared" si="13"/>
        <v>0</v>
      </c>
    </row>
    <row r="415" spans="1:12" x14ac:dyDescent="0.35">
      <c r="A415">
        <v>160</v>
      </c>
      <c r="B415">
        <f>IF(ISBLANK(INDEX('Milestone Tracker – MENA'!$B:$B,160)),B414,INDEX('Milestone Tracker – MENA'!$B:$B,160))</f>
        <v>0</v>
      </c>
      <c r="C415">
        <f>IF(ISBLANK(INDEX('Milestone Tracker – MENA'!$C:$C,160)),C414,INDEX('Milestone Tracker – MENA'!$C:$C,160))</f>
        <v>0</v>
      </c>
      <c r="D415">
        <f>IF(ISBLANK(INDEX('Milestone Tracker – MENA'!$D:$D,160)),D414,INDEX('Milestone Tracker – MENA'!$D:$D,160))</f>
        <v>0</v>
      </c>
      <c r="E415" t="str">
        <f>IF(ISBLANK(INDEX('Milestone Tracker – MENA'!$E:$E,160)),"",INDEX('Milestone Tracker – MENA'!$E:$E,160))</f>
        <v/>
      </c>
      <c r="F415" t="str">
        <f>IF(ISBLANK(INDEX('Milestone Tracker – MENA'!$F:$F,160)),"",INDEX('Milestone Tracker – MENA'!$F:$F,160))</f>
        <v/>
      </c>
      <c r="G415" t="e">
        <f>IF(ISBLANK(INDEX('Milestone Tracker – MENA'!#REF!,160)),"",INDEX('Milestone Tracker – MENA'!#REF!,160))</f>
        <v>#REF!</v>
      </c>
      <c r="H415" t="str">
        <f>IF(ISBLANK(INDEX('Milestone Tracker – MENA'!$G:$G,160)),"",INDEX('Milestone Tracker – MENA'!$G:$G,160))</f>
        <v/>
      </c>
      <c r="I415" t="str">
        <f>IF(ISBLANK(INDEX('Milestone Tracker – MENA'!$H:$H,160)),"",INDEX('Milestone Tracker – MENA'!$H:$H,160))</f>
        <v/>
      </c>
      <c r="J415" t="e">
        <f>IF(ISBLANK(INDEX('Milestone Tracker – MENA'!#REF!,160)),"",INDEX('Milestone Tracker – MENA'!#REF!,160))</f>
        <v>#REF!</v>
      </c>
      <c r="K415">
        <f t="shared" si="12"/>
        <v>0</v>
      </c>
      <c r="L415">
        <f t="shared" si="13"/>
        <v>0</v>
      </c>
    </row>
    <row r="416" spans="1:12" x14ac:dyDescent="0.35">
      <c r="A416">
        <v>161</v>
      </c>
      <c r="B416">
        <f>IF(ISBLANK(INDEX('Milestone Tracker – MENA'!$B:$B,161)),B415,INDEX('Milestone Tracker – MENA'!$B:$B,161))</f>
        <v>0</v>
      </c>
      <c r="C416">
        <f>IF(ISBLANK(INDEX('Milestone Tracker – MENA'!$C:$C,161)),C415,INDEX('Milestone Tracker – MENA'!$C:$C,161))</f>
        <v>0</v>
      </c>
      <c r="D416">
        <f>IF(ISBLANK(INDEX('Milestone Tracker – MENA'!$D:$D,161)),D415,INDEX('Milestone Tracker – MENA'!$D:$D,161))</f>
        <v>0</v>
      </c>
      <c r="E416" t="str">
        <f>IF(ISBLANK(INDEX('Milestone Tracker – MENA'!$E:$E,161)),"",INDEX('Milestone Tracker – MENA'!$E:$E,161))</f>
        <v/>
      </c>
      <c r="F416" t="str">
        <f>IF(ISBLANK(INDEX('Milestone Tracker – MENA'!$F:$F,161)),"",INDEX('Milestone Tracker – MENA'!$F:$F,161))</f>
        <v/>
      </c>
      <c r="G416" t="e">
        <f>IF(ISBLANK(INDEX('Milestone Tracker – MENA'!#REF!,161)),"",INDEX('Milestone Tracker – MENA'!#REF!,161))</f>
        <v>#REF!</v>
      </c>
      <c r="H416" t="str">
        <f>IF(ISBLANK(INDEX('Milestone Tracker – MENA'!$G:$G,161)),"",INDEX('Milestone Tracker – MENA'!$G:$G,161))</f>
        <v/>
      </c>
      <c r="I416" t="str">
        <f>IF(ISBLANK(INDEX('Milestone Tracker – MENA'!$H:$H,161)),"",INDEX('Milestone Tracker – MENA'!$H:$H,161))</f>
        <v/>
      </c>
      <c r="J416" t="e">
        <f>IF(ISBLANK(INDEX('Milestone Tracker – MENA'!#REF!,161)),"",INDEX('Milestone Tracker – MENA'!#REF!,161))</f>
        <v>#REF!</v>
      </c>
      <c r="K416">
        <f t="shared" si="12"/>
        <v>0</v>
      </c>
      <c r="L416">
        <f t="shared" si="13"/>
        <v>0</v>
      </c>
    </row>
    <row r="417" spans="1:12" x14ac:dyDescent="0.35">
      <c r="A417">
        <v>162</v>
      </c>
      <c r="B417">
        <f>IF(ISBLANK(INDEX('Milestone Tracker – MENA'!$B:$B,162)),B416,INDEX('Milestone Tracker – MENA'!$B:$B,162))</f>
        <v>0</v>
      </c>
      <c r="C417">
        <f>IF(ISBLANK(INDEX('Milestone Tracker – MENA'!$C:$C,162)),C416,INDEX('Milestone Tracker – MENA'!$C:$C,162))</f>
        <v>0</v>
      </c>
      <c r="D417">
        <f>IF(ISBLANK(INDEX('Milestone Tracker – MENA'!$D:$D,162)),D416,INDEX('Milestone Tracker – MENA'!$D:$D,162))</f>
        <v>0</v>
      </c>
      <c r="E417" t="str">
        <f>IF(ISBLANK(INDEX('Milestone Tracker – MENA'!$E:$E,162)),"",INDEX('Milestone Tracker – MENA'!$E:$E,162))</f>
        <v/>
      </c>
      <c r="F417" t="str">
        <f>IF(ISBLANK(INDEX('Milestone Tracker – MENA'!$F:$F,162)),"",INDEX('Milestone Tracker – MENA'!$F:$F,162))</f>
        <v/>
      </c>
      <c r="G417" t="e">
        <f>IF(ISBLANK(INDEX('Milestone Tracker – MENA'!#REF!,162)),"",INDEX('Milestone Tracker – MENA'!#REF!,162))</f>
        <v>#REF!</v>
      </c>
      <c r="H417" t="str">
        <f>IF(ISBLANK(INDEX('Milestone Tracker – MENA'!$G:$G,162)),"",INDEX('Milestone Tracker – MENA'!$G:$G,162))</f>
        <v/>
      </c>
      <c r="I417" t="str">
        <f>IF(ISBLANK(INDEX('Milestone Tracker – MENA'!$H:$H,162)),"",INDEX('Milestone Tracker – MENA'!$H:$H,162))</f>
        <v/>
      </c>
      <c r="J417" t="e">
        <f>IF(ISBLANK(INDEX('Milestone Tracker – MENA'!#REF!,162)),"",INDEX('Milestone Tracker – MENA'!#REF!,162))</f>
        <v>#REF!</v>
      </c>
      <c r="K417">
        <f t="shared" si="12"/>
        <v>0</v>
      </c>
      <c r="L417">
        <f t="shared" si="13"/>
        <v>0</v>
      </c>
    </row>
    <row r="418" spans="1:12" x14ac:dyDescent="0.35">
      <c r="A418">
        <v>163</v>
      </c>
      <c r="B418">
        <f>IF(ISBLANK(INDEX('Milestone Tracker – MENA'!$B:$B,163)),B417,INDEX('Milestone Tracker – MENA'!$B:$B,163))</f>
        <v>0</v>
      </c>
      <c r="C418">
        <f>IF(ISBLANK(INDEX('Milestone Tracker – MENA'!$C:$C,163)),C417,INDEX('Milestone Tracker – MENA'!$C:$C,163))</f>
        <v>0</v>
      </c>
      <c r="D418">
        <f>IF(ISBLANK(INDEX('Milestone Tracker – MENA'!$D:$D,163)),D417,INDEX('Milestone Tracker – MENA'!$D:$D,163))</f>
        <v>0</v>
      </c>
      <c r="E418" t="str">
        <f>IF(ISBLANK(INDEX('Milestone Tracker – MENA'!$E:$E,163)),"",INDEX('Milestone Tracker – MENA'!$E:$E,163))</f>
        <v/>
      </c>
      <c r="F418" t="str">
        <f>IF(ISBLANK(INDEX('Milestone Tracker – MENA'!$F:$F,163)),"",INDEX('Milestone Tracker – MENA'!$F:$F,163))</f>
        <v/>
      </c>
      <c r="G418" t="e">
        <f>IF(ISBLANK(INDEX('Milestone Tracker – MENA'!#REF!,163)),"",INDEX('Milestone Tracker – MENA'!#REF!,163))</f>
        <v>#REF!</v>
      </c>
      <c r="H418" t="str">
        <f>IF(ISBLANK(INDEX('Milestone Tracker – MENA'!$G:$G,163)),"",INDEX('Milestone Tracker – MENA'!$G:$G,163))</f>
        <v/>
      </c>
      <c r="I418" t="str">
        <f>IF(ISBLANK(INDEX('Milestone Tracker – MENA'!$H:$H,163)),"",INDEX('Milestone Tracker – MENA'!$H:$H,163))</f>
        <v/>
      </c>
      <c r="J418" t="e">
        <f>IF(ISBLANK(INDEX('Milestone Tracker – MENA'!#REF!,163)),"",INDEX('Milestone Tracker – MENA'!#REF!,163))</f>
        <v>#REF!</v>
      </c>
      <c r="K418">
        <f t="shared" si="12"/>
        <v>0</v>
      </c>
      <c r="L418">
        <f t="shared" si="13"/>
        <v>0</v>
      </c>
    </row>
    <row r="419" spans="1:12" x14ac:dyDescent="0.35">
      <c r="A419">
        <v>164</v>
      </c>
      <c r="B419">
        <f>IF(ISBLANK(INDEX('Milestone Tracker – MENA'!$B:$B,164)),B418,INDEX('Milestone Tracker – MENA'!$B:$B,164))</f>
        <v>0</v>
      </c>
      <c r="C419">
        <f>IF(ISBLANK(INDEX('Milestone Tracker – MENA'!$C:$C,164)),C418,INDEX('Milestone Tracker – MENA'!$C:$C,164))</f>
        <v>0</v>
      </c>
      <c r="D419">
        <f>IF(ISBLANK(INDEX('Milestone Tracker – MENA'!$D:$D,164)),D418,INDEX('Milestone Tracker – MENA'!$D:$D,164))</f>
        <v>0</v>
      </c>
      <c r="E419" t="str">
        <f>IF(ISBLANK(INDEX('Milestone Tracker – MENA'!$E:$E,164)),"",INDEX('Milestone Tracker – MENA'!$E:$E,164))</f>
        <v/>
      </c>
      <c r="F419" t="str">
        <f>IF(ISBLANK(INDEX('Milestone Tracker – MENA'!$F:$F,164)),"",INDEX('Milestone Tracker – MENA'!$F:$F,164))</f>
        <v/>
      </c>
      <c r="G419" t="e">
        <f>IF(ISBLANK(INDEX('Milestone Tracker – MENA'!#REF!,164)),"",INDEX('Milestone Tracker – MENA'!#REF!,164))</f>
        <v>#REF!</v>
      </c>
      <c r="H419" t="str">
        <f>IF(ISBLANK(INDEX('Milestone Tracker – MENA'!$G:$G,164)),"",INDEX('Milestone Tracker – MENA'!$G:$G,164))</f>
        <v/>
      </c>
      <c r="I419" t="str">
        <f>IF(ISBLANK(INDEX('Milestone Tracker – MENA'!$H:$H,164)),"",INDEX('Milestone Tracker – MENA'!$H:$H,164))</f>
        <v/>
      </c>
      <c r="J419" t="e">
        <f>IF(ISBLANK(INDEX('Milestone Tracker – MENA'!#REF!,164)),"",INDEX('Milestone Tracker – MENA'!#REF!,164))</f>
        <v>#REF!</v>
      </c>
      <c r="K419">
        <f t="shared" si="12"/>
        <v>0</v>
      </c>
      <c r="L419">
        <f t="shared" si="13"/>
        <v>0</v>
      </c>
    </row>
    <row r="420" spans="1:12" x14ac:dyDescent="0.35">
      <c r="A420">
        <v>165</v>
      </c>
      <c r="B420">
        <f>IF(ISBLANK(INDEX('Milestone Tracker – MENA'!$B:$B,165)),B419,INDEX('Milestone Tracker – MENA'!$B:$B,165))</f>
        <v>0</v>
      </c>
      <c r="C420">
        <f>IF(ISBLANK(INDEX('Milestone Tracker – MENA'!$C:$C,165)),C419,INDEX('Milestone Tracker – MENA'!$C:$C,165))</f>
        <v>0</v>
      </c>
      <c r="D420">
        <f>IF(ISBLANK(INDEX('Milestone Tracker – MENA'!$D:$D,165)),D419,INDEX('Milestone Tracker – MENA'!$D:$D,165))</f>
        <v>0</v>
      </c>
      <c r="E420" t="str">
        <f>IF(ISBLANK(INDEX('Milestone Tracker – MENA'!$E:$E,165)),"",INDEX('Milestone Tracker – MENA'!$E:$E,165))</f>
        <v/>
      </c>
      <c r="F420" t="str">
        <f>IF(ISBLANK(INDEX('Milestone Tracker – MENA'!$F:$F,165)),"",INDEX('Milestone Tracker – MENA'!$F:$F,165))</f>
        <v/>
      </c>
      <c r="G420" t="e">
        <f>IF(ISBLANK(INDEX('Milestone Tracker – MENA'!#REF!,165)),"",INDEX('Milestone Tracker – MENA'!#REF!,165))</f>
        <v>#REF!</v>
      </c>
      <c r="H420" t="str">
        <f>IF(ISBLANK(INDEX('Milestone Tracker – MENA'!$G:$G,165)),"",INDEX('Milestone Tracker – MENA'!$G:$G,165))</f>
        <v/>
      </c>
      <c r="I420" t="str">
        <f>IF(ISBLANK(INDEX('Milestone Tracker – MENA'!$H:$H,165)),"",INDEX('Milestone Tracker – MENA'!$H:$H,165))</f>
        <v/>
      </c>
      <c r="J420" t="e">
        <f>IF(ISBLANK(INDEX('Milestone Tracker – MENA'!#REF!,165)),"",INDEX('Milestone Tracker – MENA'!#REF!,165))</f>
        <v>#REF!</v>
      </c>
      <c r="K420">
        <f t="shared" si="12"/>
        <v>0</v>
      </c>
      <c r="L420">
        <f t="shared" si="13"/>
        <v>0</v>
      </c>
    </row>
    <row r="421" spans="1:12" x14ac:dyDescent="0.35">
      <c r="A421">
        <v>166</v>
      </c>
      <c r="B421">
        <f>IF(ISBLANK(INDEX('Milestone Tracker – MENA'!$B:$B,166)),B420,INDEX('Milestone Tracker – MENA'!$B:$B,166))</f>
        <v>0</v>
      </c>
      <c r="C421">
        <f>IF(ISBLANK(INDEX('Milestone Tracker – MENA'!$C:$C,166)),C420,INDEX('Milestone Tracker – MENA'!$C:$C,166))</f>
        <v>0</v>
      </c>
      <c r="D421">
        <f>IF(ISBLANK(INDEX('Milestone Tracker – MENA'!$D:$D,166)),D420,INDEX('Milestone Tracker – MENA'!$D:$D,166))</f>
        <v>0</v>
      </c>
      <c r="E421" t="str">
        <f>IF(ISBLANK(INDEX('Milestone Tracker – MENA'!$E:$E,166)),"",INDEX('Milestone Tracker – MENA'!$E:$E,166))</f>
        <v/>
      </c>
      <c r="F421" t="str">
        <f>IF(ISBLANK(INDEX('Milestone Tracker – MENA'!$F:$F,166)),"",INDEX('Milestone Tracker – MENA'!$F:$F,166))</f>
        <v/>
      </c>
      <c r="G421" t="e">
        <f>IF(ISBLANK(INDEX('Milestone Tracker – MENA'!#REF!,166)),"",INDEX('Milestone Tracker – MENA'!#REF!,166))</f>
        <v>#REF!</v>
      </c>
      <c r="H421" t="str">
        <f>IF(ISBLANK(INDEX('Milestone Tracker – MENA'!$G:$G,166)),"",INDEX('Milestone Tracker – MENA'!$G:$G,166))</f>
        <v/>
      </c>
      <c r="I421" t="str">
        <f>IF(ISBLANK(INDEX('Milestone Tracker – MENA'!$H:$H,166)),"",INDEX('Milestone Tracker – MENA'!$H:$H,166))</f>
        <v/>
      </c>
      <c r="J421" t="e">
        <f>IF(ISBLANK(INDEX('Milestone Tracker – MENA'!#REF!,166)),"",INDEX('Milestone Tracker – MENA'!#REF!,166))</f>
        <v>#REF!</v>
      </c>
      <c r="K421">
        <f t="shared" si="12"/>
        <v>0</v>
      </c>
      <c r="L421">
        <f t="shared" si="13"/>
        <v>0</v>
      </c>
    </row>
    <row r="422" spans="1:12" x14ac:dyDescent="0.35">
      <c r="A422">
        <v>167</v>
      </c>
      <c r="B422">
        <f>IF(ISBLANK(INDEX('Milestone Tracker – MENA'!$B:$B,167)),B421,INDEX('Milestone Tracker – MENA'!$B:$B,167))</f>
        <v>0</v>
      </c>
      <c r="C422">
        <f>IF(ISBLANK(INDEX('Milestone Tracker – MENA'!$C:$C,167)),C421,INDEX('Milestone Tracker – MENA'!$C:$C,167))</f>
        <v>0</v>
      </c>
      <c r="D422">
        <f>IF(ISBLANK(INDEX('Milestone Tracker – MENA'!$D:$D,167)),D421,INDEX('Milestone Tracker – MENA'!$D:$D,167))</f>
        <v>0</v>
      </c>
      <c r="E422" t="str">
        <f>IF(ISBLANK(INDEX('Milestone Tracker – MENA'!$E:$E,167)),"",INDEX('Milestone Tracker – MENA'!$E:$E,167))</f>
        <v/>
      </c>
      <c r="F422" t="str">
        <f>IF(ISBLANK(INDEX('Milestone Tracker – MENA'!$F:$F,167)),"",INDEX('Milestone Tracker – MENA'!$F:$F,167))</f>
        <v/>
      </c>
      <c r="G422" t="e">
        <f>IF(ISBLANK(INDEX('Milestone Tracker – MENA'!#REF!,167)),"",INDEX('Milestone Tracker – MENA'!#REF!,167))</f>
        <v>#REF!</v>
      </c>
      <c r="H422" t="str">
        <f>IF(ISBLANK(INDEX('Milestone Tracker – MENA'!$G:$G,167)),"",INDEX('Milestone Tracker – MENA'!$G:$G,167))</f>
        <v/>
      </c>
      <c r="I422" t="str">
        <f>IF(ISBLANK(INDEX('Milestone Tracker – MENA'!$H:$H,167)),"",INDEX('Milestone Tracker – MENA'!$H:$H,167))</f>
        <v/>
      </c>
      <c r="J422" t="e">
        <f>IF(ISBLANK(INDEX('Milestone Tracker – MENA'!#REF!,167)),"",INDEX('Milestone Tracker – MENA'!#REF!,167))</f>
        <v>#REF!</v>
      </c>
      <c r="K422">
        <f t="shared" si="12"/>
        <v>0</v>
      </c>
      <c r="L422">
        <f t="shared" si="13"/>
        <v>0</v>
      </c>
    </row>
    <row r="423" spans="1:12" x14ac:dyDescent="0.35">
      <c r="A423">
        <v>168</v>
      </c>
      <c r="B423">
        <f>IF(ISBLANK(INDEX('Milestone Tracker – MENA'!$B:$B,168)),B422,INDEX('Milestone Tracker – MENA'!$B:$B,168))</f>
        <v>0</v>
      </c>
      <c r="C423">
        <f>IF(ISBLANK(INDEX('Milestone Tracker – MENA'!$C:$C,168)),C422,INDEX('Milestone Tracker – MENA'!$C:$C,168))</f>
        <v>0</v>
      </c>
      <c r="D423">
        <f>IF(ISBLANK(INDEX('Milestone Tracker – MENA'!$D:$D,168)),D422,INDEX('Milestone Tracker – MENA'!$D:$D,168))</f>
        <v>0</v>
      </c>
      <c r="E423" t="str">
        <f>IF(ISBLANK(INDEX('Milestone Tracker – MENA'!$E:$E,168)),"",INDEX('Milestone Tracker – MENA'!$E:$E,168))</f>
        <v/>
      </c>
      <c r="F423" t="str">
        <f>IF(ISBLANK(INDEX('Milestone Tracker – MENA'!$F:$F,168)),"",INDEX('Milestone Tracker – MENA'!$F:$F,168))</f>
        <v/>
      </c>
      <c r="G423" t="e">
        <f>IF(ISBLANK(INDEX('Milestone Tracker – MENA'!#REF!,168)),"",INDEX('Milestone Tracker – MENA'!#REF!,168))</f>
        <v>#REF!</v>
      </c>
      <c r="H423" t="str">
        <f>IF(ISBLANK(INDEX('Milestone Tracker – MENA'!$G:$G,168)),"",INDEX('Milestone Tracker – MENA'!$G:$G,168))</f>
        <v/>
      </c>
      <c r="I423" t="str">
        <f>IF(ISBLANK(INDEX('Milestone Tracker – MENA'!$H:$H,168)),"",INDEX('Milestone Tracker – MENA'!$H:$H,168))</f>
        <v/>
      </c>
      <c r="J423" t="e">
        <f>IF(ISBLANK(INDEX('Milestone Tracker – MENA'!#REF!,168)),"",INDEX('Milestone Tracker – MENA'!#REF!,168))</f>
        <v>#REF!</v>
      </c>
      <c r="K423">
        <f t="shared" si="12"/>
        <v>0</v>
      </c>
      <c r="L423">
        <f t="shared" si="13"/>
        <v>0</v>
      </c>
    </row>
    <row r="424" spans="1:12" x14ac:dyDescent="0.35">
      <c r="A424">
        <v>169</v>
      </c>
      <c r="B424">
        <f>IF(ISBLANK(INDEX('Milestone Tracker – MENA'!$B:$B,169)),B423,INDEX('Milestone Tracker – MENA'!$B:$B,169))</f>
        <v>0</v>
      </c>
      <c r="C424">
        <f>IF(ISBLANK(INDEX('Milestone Tracker – MENA'!$C:$C,169)),C423,INDEX('Milestone Tracker – MENA'!$C:$C,169))</f>
        <v>0</v>
      </c>
      <c r="D424">
        <f>IF(ISBLANK(INDEX('Milestone Tracker – MENA'!$D:$D,169)),D423,INDEX('Milestone Tracker – MENA'!$D:$D,169))</f>
        <v>0</v>
      </c>
      <c r="E424" t="str">
        <f>IF(ISBLANK(INDEX('Milestone Tracker – MENA'!$E:$E,169)),"",INDEX('Milestone Tracker – MENA'!$E:$E,169))</f>
        <v/>
      </c>
      <c r="F424" t="str">
        <f>IF(ISBLANK(INDEX('Milestone Tracker – MENA'!$F:$F,169)),"",INDEX('Milestone Tracker – MENA'!$F:$F,169))</f>
        <v/>
      </c>
      <c r="G424" t="e">
        <f>IF(ISBLANK(INDEX('Milestone Tracker – MENA'!#REF!,169)),"",INDEX('Milestone Tracker – MENA'!#REF!,169))</f>
        <v>#REF!</v>
      </c>
      <c r="H424" t="str">
        <f>IF(ISBLANK(INDEX('Milestone Tracker – MENA'!$G:$G,169)),"",INDEX('Milestone Tracker – MENA'!$G:$G,169))</f>
        <v/>
      </c>
      <c r="I424" t="str">
        <f>IF(ISBLANK(INDEX('Milestone Tracker – MENA'!$H:$H,169)),"",INDEX('Milestone Tracker – MENA'!$H:$H,169))</f>
        <v/>
      </c>
      <c r="J424" t="e">
        <f>IF(ISBLANK(INDEX('Milestone Tracker – MENA'!#REF!,169)),"",INDEX('Milestone Tracker – MENA'!#REF!,169))</f>
        <v>#REF!</v>
      </c>
      <c r="K424">
        <f t="shared" si="12"/>
        <v>0</v>
      </c>
      <c r="L424">
        <f t="shared" si="13"/>
        <v>0</v>
      </c>
    </row>
    <row r="425" spans="1:12" x14ac:dyDescent="0.35">
      <c r="A425">
        <v>170</v>
      </c>
      <c r="B425">
        <f>IF(ISBLANK(INDEX('Milestone Tracker – MENA'!$B:$B,170)),B424,INDEX('Milestone Tracker – MENA'!$B:$B,170))</f>
        <v>0</v>
      </c>
      <c r="C425">
        <f>IF(ISBLANK(INDEX('Milestone Tracker – MENA'!$C:$C,170)),C424,INDEX('Milestone Tracker – MENA'!$C:$C,170))</f>
        <v>0</v>
      </c>
      <c r="D425">
        <f>IF(ISBLANK(INDEX('Milestone Tracker – MENA'!$D:$D,170)),D424,INDEX('Milestone Tracker – MENA'!$D:$D,170))</f>
        <v>0</v>
      </c>
      <c r="E425" t="str">
        <f>IF(ISBLANK(INDEX('Milestone Tracker – MENA'!$E:$E,170)),"",INDEX('Milestone Tracker – MENA'!$E:$E,170))</f>
        <v/>
      </c>
      <c r="F425" t="str">
        <f>IF(ISBLANK(INDEX('Milestone Tracker – MENA'!$F:$F,170)),"",INDEX('Milestone Tracker – MENA'!$F:$F,170))</f>
        <v/>
      </c>
      <c r="G425" t="e">
        <f>IF(ISBLANK(INDEX('Milestone Tracker – MENA'!#REF!,170)),"",INDEX('Milestone Tracker – MENA'!#REF!,170))</f>
        <v>#REF!</v>
      </c>
      <c r="H425" t="str">
        <f>IF(ISBLANK(INDEX('Milestone Tracker – MENA'!$G:$G,170)),"",INDEX('Milestone Tracker – MENA'!$G:$G,170))</f>
        <v/>
      </c>
      <c r="I425" t="str">
        <f>IF(ISBLANK(INDEX('Milestone Tracker – MENA'!$H:$H,170)),"",INDEX('Milestone Tracker – MENA'!$H:$H,170))</f>
        <v/>
      </c>
      <c r="J425" t="e">
        <f>IF(ISBLANK(INDEX('Milestone Tracker – MENA'!#REF!,170)),"",INDEX('Milestone Tracker – MENA'!#REF!,170))</f>
        <v>#REF!</v>
      </c>
      <c r="K425">
        <f t="shared" si="12"/>
        <v>0</v>
      </c>
      <c r="L425">
        <f t="shared" si="13"/>
        <v>0</v>
      </c>
    </row>
    <row r="426" spans="1:12" x14ac:dyDescent="0.35">
      <c r="A426">
        <v>171</v>
      </c>
      <c r="B426">
        <f>IF(ISBLANK(INDEX('Milestone Tracker – MENA'!$B:$B,171)),B425,INDEX('Milestone Tracker – MENA'!$B:$B,171))</f>
        <v>0</v>
      </c>
      <c r="C426">
        <f>IF(ISBLANK(INDEX('Milestone Tracker – MENA'!$C:$C,171)),C425,INDEX('Milestone Tracker – MENA'!$C:$C,171))</f>
        <v>0</v>
      </c>
      <c r="D426">
        <f>IF(ISBLANK(INDEX('Milestone Tracker – MENA'!$D:$D,171)),D425,INDEX('Milestone Tracker – MENA'!$D:$D,171))</f>
        <v>0</v>
      </c>
      <c r="E426" t="str">
        <f>IF(ISBLANK(INDEX('Milestone Tracker – MENA'!$E:$E,171)),"",INDEX('Milestone Tracker – MENA'!$E:$E,171))</f>
        <v/>
      </c>
      <c r="F426" t="str">
        <f>IF(ISBLANK(INDEX('Milestone Tracker – MENA'!$F:$F,171)),"",INDEX('Milestone Tracker – MENA'!$F:$F,171))</f>
        <v/>
      </c>
      <c r="G426" t="e">
        <f>IF(ISBLANK(INDEX('Milestone Tracker – MENA'!#REF!,171)),"",INDEX('Milestone Tracker – MENA'!#REF!,171))</f>
        <v>#REF!</v>
      </c>
      <c r="H426" t="str">
        <f>IF(ISBLANK(INDEX('Milestone Tracker – MENA'!$G:$G,171)),"",INDEX('Milestone Tracker – MENA'!$G:$G,171))</f>
        <v/>
      </c>
      <c r="I426" t="str">
        <f>IF(ISBLANK(INDEX('Milestone Tracker – MENA'!$H:$H,171)),"",INDEX('Milestone Tracker – MENA'!$H:$H,171))</f>
        <v/>
      </c>
      <c r="J426" t="e">
        <f>IF(ISBLANK(INDEX('Milestone Tracker – MENA'!#REF!,171)),"",INDEX('Milestone Tracker – MENA'!#REF!,171))</f>
        <v>#REF!</v>
      </c>
      <c r="K426">
        <f t="shared" si="12"/>
        <v>0</v>
      </c>
      <c r="L426">
        <f t="shared" si="13"/>
        <v>0</v>
      </c>
    </row>
    <row r="427" spans="1:12" x14ac:dyDescent="0.35">
      <c r="A427">
        <v>172</v>
      </c>
      <c r="B427">
        <f>IF(ISBLANK(INDEX('Milestone Tracker – MENA'!$B:$B,172)),B426,INDEX('Milestone Tracker – MENA'!$B:$B,172))</f>
        <v>0</v>
      </c>
      <c r="C427">
        <f>IF(ISBLANK(INDEX('Milestone Tracker – MENA'!$C:$C,172)),C426,INDEX('Milestone Tracker – MENA'!$C:$C,172))</f>
        <v>0</v>
      </c>
      <c r="D427">
        <f>IF(ISBLANK(INDEX('Milestone Tracker – MENA'!$D:$D,172)),D426,INDEX('Milestone Tracker – MENA'!$D:$D,172))</f>
        <v>0</v>
      </c>
      <c r="E427" t="str">
        <f>IF(ISBLANK(INDEX('Milestone Tracker – MENA'!$E:$E,172)),"",INDEX('Milestone Tracker – MENA'!$E:$E,172))</f>
        <v/>
      </c>
      <c r="F427" t="str">
        <f>IF(ISBLANK(INDEX('Milestone Tracker – MENA'!$F:$F,172)),"",INDEX('Milestone Tracker – MENA'!$F:$F,172))</f>
        <v/>
      </c>
      <c r="G427" t="e">
        <f>IF(ISBLANK(INDEX('Milestone Tracker – MENA'!#REF!,172)),"",INDEX('Milestone Tracker – MENA'!#REF!,172))</f>
        <v>#REF!</v>
      </c>
      <c r="H427" t="str">
        <f>IF(ISBLANK(INDEX('Milestone Tracker – MENA'!$G:$G,172)),"",INDEX('Milestone Tracker – MENA'!$G:$G,172))</f>
        <v/>
      </c>
      <c r="I427" t="str">
        <f>IF(ISBLANK(INDEX('Milestone Tracker – MENA'!$H:$H,172)),"",INDEX('Milestone Tracker – MENA'!$H:$H,172))</f>
        <v/>
      </c>
      <c r="J427" t="e">
        <f>IF(ISBLANK(INDEX('Milestone Tracker – MENA'!#REF!,172)),"",INDEX('Milestone Tracker – MENA'!#REF!,172))</f>
        <v>#REF!</v>
      </c>
      <c r="K427">
        <f t="shared" si="12"/>
        <v>0</v>
      </c>
      <c r="L427">
        <f t="shared" si="13"/>
        <v>0</v>
      </c>
    </row>
    <row r="428" spans="1:12" x14ac:dyDescent="0.35">
      <c r="A428">
        <v>173</v>
      </c>
      <c r="B428">
        <f>IF(ISBLANK(INDEX('Milestone Tracker – MENA'!$B:$B,173)),B427,INDEX('Milestone Tracker – MENA'!$B:$B,173))</f>
        <v>0</v>
      </c>
      <c r="C428">
        <f>IF(ISBLANK(INDEX('Milestone Tracker – MENA'!$C:$C,173)),C427,INDEX('Milestone Tracker – MENA'!$C:$C,173))</f>
        <v>0</v>
      </c>
      <c r="D428">
        <f>IF(ISBLANK(INDEX('Milestone Tracker – MENA'!$D:$D,173)),D427,INDEX('Milestone Tracker – MENA'!$D:$D,173))</f>
        <v>0</v>
      </c>
      <c r="E428" t="str">
        <f>IF(ISBLANK(INDEX('Milestone Tracker – MENA'!$E:$E,173)),"",INDEX('Milestone Tracker – MENA'!$E:$E,173))</f>
        <v/>
      </c>
      <c r="F428" t="str">
        <f>IF(ISBLANK(INDEX('Milestone Tracker – MENA'!$F:$F,173)),"",INDEX('Milestone Tracker – MENA'!$F:$F,173))</f>
        <v/>
      </c>
      <c r="G428" t="e">
        <f>IF(ISBLANK(INDEX('Milestone Tracker – MENA'!#REF!,173)),"",INDEX('Milestone Tracker – MENA'!#REF!,173))</f>
        <v>#REF!</v>
      </c>
      <c r="H428" t="str">
        <f>IF(ISBLANK(INDEX('Milestone Tracker – MENA'!$G:$G,173)),"",INDEX('Milestone Tracker – MENA'!$G:$G,173))</f>
        <v/>
      </c>
      <c r="I428" t="str">
        <f>IF(ISBLANK(INDEX('Milestone Tracker – MENA'!$H:$H,173)),"",INDEX('Milestone Tracker – MENA'!$H:$H,173))</f>
        <v/>
      </c>
      <c r="J428" t="e">
        <f>IF(ISBLANK(INDEX('Milestone Tracker – MENA'!#REF!,173)),"",INDEX('Milestone Tracker – MENA'!#REF!,173))</f>
        <v>#REF!</v>
      </c>
      <c r="K428">
        <f t="shared" si="12"/>
        <v>0</v>
      </c>
      <c r="L428">
        <f t="shared" si="13"/>
        <v>0</v>
      </c>
    </row>
    <row r="429" spans="1:12" x14ac:dyDescent="0.35">
      <c r="A429">
        <v>174</v>
      </c>
      <c r="B429">
        <f>IF(ISBLANK(INDEX('Milestone Tracker – MENA'!$B:$B,174)),B428,INDEX('Milestone Tracker – MENA'!$B:$B,174))</f>
        <v>0</v>
      </c>
      <c r="C429">
        <f>IF(ISBLANK(INDEX('Milestone Tracker – MENA'!$C:$C,174)),C428,INDEX('Milestone Tracker – MENA'!$C:$C,174))</f>
        <v>0</v>
      </c>
      <c r="D429">
        <f>IF(ISBLANK(INDEX('Milestone Tracker – MENA'!$D:$D,174)),D428,INDEX('Milestone Tracker – MENA'!$D:$D,174))</f>
        <v>0</v>
      </c>
      <c r="E429" t="str">
        <f>IF(ISBLANK(INDEX('Milestone Tracker – MENA'!$E:$E,174)),"",INDEX('Milestone Tracker – MENA'!$E:$E,174))</f>
        <v/>
      </c>
      <c r="F429" t="str">
        <f>IF(ISBLANK(INDEX('Milestone Tracker – MENA'!$F:$F,174)),"",INDEX('Milestone Tracker – MENA'!$F:$F,174))</f>
        <v/>
      </c>
      <c r="G429" t="e">
        <f>IF(ISBLANK(INDEX('Milestone Tracker – MENA'!#REF!,174)),"",INDEX('Milestone Tracker – MENA'!#REF!,174))</f>
        <v>#REF!</v>
      </c>
      <c r="H429" t="str">
        <f>IF(ISBLANK(INDEX('Milestone Tracker – MENA'!$G:$G,174)),"",INDEX('Milestone Tracker – MENA'!$G:$G,174))</f>
        <v/>
      </c>
      <c r="I429" t="str">
        <f>IF(ISBLANK(INDEX('Milestone Tracker – MENA'!$H:$H,174)),"",INDEX('Milestone Tracker – MENA'!$H:$H,174))</f>
        <v/>
      </c>
      <c r="J429" t="e">
        <f>IF(ISBLANK(INDEX('Milestone Tracker – MENA'!#REF!,174)),"",INDEX('Milestone Tracker – MENA'!#REF!,174))</f>
        <v>#REF!</v>
      </c>
      <c r="K429">
        <f t="shared" si="12"/>
        <v>0</v>
      </c>
      <c r="L429">
        <f t="shared" si="13"/>
        <v>0</v>
      </c>
    </row>
    <row r="430" spans="1:12" x14ac:dyDescent="0.35">
      <c r="A430">
        <v>175</v>
      </c>
      <c r="B430">
        <f>IF(ISBLANK(INDEX('Milestone Tracker – MENA'!$B:$B,175)),B429,INDEX('Milestone Tracker – MENA'!$B:$B,175))</f>
        <v>0</v>
      </c>
      <c r="C430">
        <f>IF(ISBLANK(INDEX('Milestone Tracker – MENA'!$C:$C,175)),C429,INDEX('Milestone Tracker – MENA'!$C:$C,175))</f>
        <v>0</v>
      </c>
      <c r="D430">
        <f>IF(ISBLANK(INDEX('Milestone Tracker – MENA'!$D:$D,175)),D429,INDEX('Milestone Tracker – MENA'!$D:$D,175))</f>
        <v>0</v>
      </c>
      <c r="E430" t="str">
        <f>IF(ISBLANK(INDEX('Milestone Tracker – MENA'!$E:$E,175)),"",INDEX('Milestone Tracker – MENA'!$E:$E,175))</f>
        <v/>
      </c>
      <c r="F430" t="str">
        <f>IF(ISBLANK(INDEX('Milestone Tracker – MENA'!$F:$F,175)),"",INDEX('Milestone Tracker – MENA'!$F:$F,175))</f>
        <v/>
      </c>
      <c r="G430" t="e">
        <f>IF(ISBLANK(INDEX('Milestone Tracker – MENA'!#REF!,175)),"",INDEX('Milestone Tracker – MENA'!#REF!,175))</f>
        <v>#REF!</v>
      </c>
      <c r="H430" t="str">
        <f>IF(ISBLANK(INDEX('Milestone Tracker – MENA'!$G:$G,175)),"",INDEX('Milestone Tracker – MENA'!$G:$G,175))</f>
        <v/>
      </c>
      <c r="I430" t="str">
        <f>IF(ISBLANK(INDEX('Milestone Tracker – MENA'!$H:$H,175)),"",INDEX('Milestone Tracker – MENA'!$H:$H,175))</f>
        <v/>
      </c>
      <c r="J430" t="e">
        <f>IF(ISBLANK(INDEX('Milestone Tracker – MENA'!#REF!,175)),"",INDEX('Milestone Tracker – MENA'!#REF!,175))</f>
        <v>#REF!</v>
      </c>
      <c r="K430">
        <f t="shared" si="12"/>
        <v>0</v>
      </c>
      <c r="L430">
        <f t="shared" si="13"/>
        <v>0</v>
      </c>
    </row>
    <row r="431" spans="1:12" x14ac:dyDescent="0.35">
      <c r="A431">
        <v>176</v>
      </c>
      <c r="B431">
        <f>IF(ISBLANK(INDEX('Milestone Tracker – MENA'!$B:$B,176)),B430,INDEX('Milestone Tracker – MENA'!$B:$B,176))</f>
        <v>0</v>
      </c>
      <c r="C431">
        <f>IF(ISBLANK(INDEX('Milestone Tracker – MENA'!$C:$C,176)),C430,INDEX('Milestone Tracker – MENA'!$C:$C,176))</f>
        <v>0</v>
      </c>
      <c r="D431">
        <f>IF(ISBLANK(INDEX('Milestone Tracker – MENA'!$D:$D,176)),D430,INDEX('Milestone Tracker – MENA'!$D:$D,176))</f>
        <v>0</v>
      </c>
      <c r="E431" t="str">
        <f>IF(ISBLANK(INDEX('Milestone Tracker – MENA'!$E:$E,176)),"",INDEX('Milestone Tracker – MENA'!$E:$E,176))</f>
        <v/>
      </c>
      <c r="F431" t="str">
        <f>IF(ISBLANK(INDEX('Milestone Tracker – MENA'!$F:$F,176)),"",INDEX('Milestone Tracker – MENA'!$F:$F,176))</f>
        <v/>
      </c>
      <c r="G431" t="e">
        <f>IF(ISBLANK(INDEX('Milestone Tracker – MENA'!#REF!,176)),"",INDEX('Milestone Tracker – MENA'!#REF!,176))</f>
        <v>#REF!</v>
      </c>
      <c r="H431" t="str">
        <f>IF(ISBLANK(INDEX('Milestone Tracker – MENA'!$G:$G,176)),"",INDEX('Milestone Tracker – MENA'!$G:$G,176))</f>
        <v/>
      </c>
      <c r="I431" t="str">
        <f>IF(ISBLANK(INDEX('Milestone Tracker – MENA'!$H:$H,176)),"",INDEX('Milestone Tracker – MENA'!$H:$H,176))</f>
        <v/>
      </c>
      <c r="J431" t="e">
        <f>IF(ISBLANK(INDEX('Milestone Tracker – MENA'!#REF!,176)),"",INDEX('Milestone Tracker – MENA'!#REF!,176))</f>
        <v>#REF!</v>
      </c>
      <c r="K431">
        <f t="shared" si="12"/>
        <v>0</v>
      </c>
      <c r="L431">
        <f t="shared" si="13"/>
        <v>0</v>
      </c>
    </row>
    <row r="432" spans="1:12" x14ac:dyDescent="0.35">
      <c r="A432">
        <v>177</v>
      </c>
      <c r="B432">
        <f>IF(ISBLANK(INDEX('Milestone Tracker – MENA'!$B:$B,177)),B431,INDEX('Milestone Tracker – MENA'!$B:$B,177))</f>
        <v>0</v>
      </c>
      <c r="C432">
        <f>IF(ISBLANK(INDEX('Milestone Tracker – MENA'!$C:$C,177)),C431,INDEX('Milestone Tracker – MENA'!$C:$C,177))</f>
        <v>0</v>
      </c>
      <c r="D432">
        <f>IF(ISBLANK(INDEX('Milestone Tracker – MENA'!$D:$D,177)),D431,INDEX('Milestone Tracker – MENA'!$D:$D,177))</f>
        <v>0</v>
      </c>
      <c r="E432" t="str">
        <f>IF(ISBLANK(INDEX('Milestone Tracker – MENA'!$E:$E,177)),"",INDEX('Milestone Tracker – MENA'!$E:$E,177))</f>
        <v/>
      </c>
      <c r="F432" t="str">
        <f>IF(ISBLANK(INDEX('Milestone Tracker – MENA'!$F:$F,177)),"",INDEX('Milestone Tracker – MENA'!$F:$F,177))</f>
        <v/>
      </c>
      <c r="G432" t="e">
        <f>IF(ISBLANK(INDEX('Milestone Tracker – MENA'!#REF!,177)),"",INDEX('Milestone Tracker – MENA'!#REF!,177))</f>
        <v>#REF!</v>
      </c>
      <c r="H432" t="str">
        <f>IF(ISBLANK(INDEX('Milestone Tracker – MENA'!$G:$G,177)),"",INDEX('Milestone Tracker – MENA'!$G:$G,177))</f>
        <v/>
      </c>
      <c r="I432" t="str">
        <f>IF(ISBLANK(INDEX('Milestone Tracker – MENA'!$H:$H,177)),"",INDEX('Milestone Tracker – MENA'!$H:$H,177))</f>
        <v/>
      </c>
      <c r="J432" t="e">
        <f>IF(ISBLANK(INDEX('Milestone Tracker – MENA'!#REF!,177)),"",INDEX('Milestone Tracker – MENA'!#REF!,177))</f>
        <v>#REF!</v>
      </c>
      <c r="K432">
        <f t="shared" si="12"/>
        <v>0</v>
      </c>
      <c r="L432">
        <f t="shared" si="13"/>
        <v>0</v>
      </c>
    </row>
    <row r="433" spans="1:12" x14ac:dyDescent="0.35">
      <c r="A433">
        <v>178</v>
      </c>
      <c r="B433">
        <f>IF(ISBLANK(INDEX('Milestone Tracker – MENA'!$B:$B,178)),B432,INDEX('Milestone Tracker – MENA'!$B:$B,178))</f>
        <v>0</v>
      </c>
      <c r="C433">
        <f>IF(ISBLANK(INDEX('Milestone Tracker – MENA'!$C:$C,178)),C432,INDEX('Milestone Tracker – MENA'!$C:$C,178))</f>
        <v>0</v>
      </c>
      <c r="D433">
        <f>IF(ISBLANK(INDEX('Milestone Tracker – MENA'!$D:$D,178)),D432,INDEX('Milestone Tracker – MENA'!$D:$D,178))</f>
        <v>0</v>
      </c>
      <c r="E433" t="str">
        <f>IF(ISBLANK(INDEX('Milestone Tracker – MENA'!$E:$E,178)),"",INDEX('Milestone Tracker – MENA'!$E:$E,178))</f>
        <v/>
      </c>
      <c r="F433" t="str">
        <f>IF(ISBLANK(INDEX('Milestone Tracker – MENA'!$F:$F,178)),"",INDEX('Milestone Tracker – MENA'!$F:$F,178))</f>
        <v/>
      </c>
      <c r="G433" t="e">
        <f>IF(ISBLANK(INDEX('Milestone Tracker – MENA'!#REF!,178)),"",INDEX('Milestone Tracker – MENA'!#REF!,178))</f>
        <v>#REF!</v>
      </c>
      <c r="H433" t="str">
        <f>IF(ISBLANK(INDEX('Milestone Tracker – MENA'!$G:$G,178)),"",INDEX('Milestone Tracker – MENA'!$G:$G,178))</f>
        <v/>
      </c>
      <c r="I433" t="str">
        <f>IF(ISBLANK(INDEX('Milestone Tracker – MENA'!$H:$H,178)),"",INDEX('Milestone Tracker – MENA'!$H:$H,178))</f>
        <v/>
      </c>
      <c r="J433" t="e">
        <f>IF(ISBLANK(INDEX('Milestone Tracker – MENA'!#REF!,178)),"",INDEX('Milestone Tracker – MENA'!#REF!,178))</f>
        <v>#REF!</v>
      </c>
      <c r="K433">
        <f t="shared" si="12"/>
        <v>0</v>
      </c>
      <c r="L433">
        <f t="shared" si="13"/>
        <v>0</v>
      </c>
    </row>
    <row r="434" spans="1:12" x14ac:dyDescent="0.35">
      <c r="A434">
        <v>179</v>
      </c>
      <c r="B434">
        <f>IF(ISBLANK(INDEX('Milestone Tracker – MENA'!$B:$B,179)),B433,INDEX('Milestone Tracker – MENA'!$B:$B,179))</f>
        <v>0</v>
      </c>
      <c r="C434">
        <f>IF(ISBLANK(INDEX('Milestone Tracker – MENA'!$C:$C,179)),C433,INDEX('Milestone Tracker – MENA'!$C:$C,179))</f>
        <v>0</v>
      </c>
      <c r="D434">
        <f>IF(ISBLANK(INDEX('Milestone Tracker – MENA'!$D:$D,179)),D433,INDEX('Milestone Tracker – MENA'!$D:$D,179))</f>
        <v>0</v>
      </c>
      <c r="E434" t="str">
        <f>IF(ISBLANK(INDEX('Milestone Tracker – MENA'!$E:$E,179)),"",INDEX('Milestone Tracker – MENA'!$E:$E,179))</f>
        <v/>
      </c>
      <c r="F434" t="str">
        <f>IF(ISBLANK(INDEX('Milestone Tracker – MENA'!$F:$F,179)),"",INDEX('Milestone Tracker – MENA'!$F:$F,179))</f>
        <v/>
      </c>
      <c r="G434" t="e">
        <f>IF(ISBLANK(INDEX('Milestone Tracker – MENA'!#REF!,179)),"",INDEX('Milestone Tracker – MENA'!#REF!,179))</f>
        <v>#REF!</v>
      </c>
      <c r="H434" t="str">
        <f>IF(ISBLANK(INDEX('Milestone Tracker – MENA'!$G:$G,179)),"",INDEX('Milestone Tracker – MENA'!$G:$G,179))</f>
        <v/>
      </c>
      <c r="I434" t="str">
        <f>IF(ISBLANK(INDEX('Milestone Tracker – MENA'!$H:$H,179)),"",INDEX('Milestone Tracker – MENA'!$H:$H,179))</f>
        <v/>
      </c>
      <c r="J434" t="e">
        <f>IF(ISBLANK(INDEX('Milestone Tracker – MENA'!#REF!,179)),"",INDEX('Milestone Tracker – MENA'!#REF!,179))</f>
        <v>#REF!</v>
      </c>
      <c r="K434">
        <f t="shared" si="12"/>
        <v>0</v>
      </c>
      <c r="L434">
        <f t="shared" si="13"/>
        <v>0</v>
      </c>
    </row>
    <row r="435" spans="1:12" x14ac:dyDescent="0.35">
      <c r="A435">
        <v>180</v>
      </c>
      <c r="B435">
        <f>IF(ISBLANK(INDEX('Milestone Tracker – MENA'!$B:$B,180)),B434,INDEX('Milestone Tracker – MENA'!$B:$B,180))</f>
        <v>0</v>
      </c>
      <c r="C435">
        <f>IF(ISBLANK(INDEX('Milestone Tracker – MENA'!$C:$C,180)),C434,INDEX('Milestone Tracker – MENA'!$C:$C,180))</f>
        <v>0</v>
      </c>
      <c r="D435">
        <f>IF(ISBLANK(INDEX('Milestone Tracker – MENA'!$D:$D,180)),D434,INDEX('Milestone Tracker – MENA'!$D:$D,180))</f>
        <v>0</v>
      </c>
      <c r="E435" t="str">
        <f>IF(ISBLANK(INDEX('Milestone Tracker – MENA'!$E:$E,180)),"",INDEX('Milestone Tracker – MENA'!$E:$E,180))</f>
        <v/>
      </c>
      <c r="F435" t="str">
        <f>IF(ISBLANK(INDEX('Milestone Tracker – MENA'!$F:$F,180)),"",INDEX('Milestone Tracker – MENA'!$F:$F,180))</f>
        <v/>
      </c>
      <c r="G435" t="e">
        <f>IF(ISBLANK(INDEX('Milestone Tracker – MENA'!#REF!,180)),"",INDEX('Milestone Tracker – MENA'!#REF!,180))</f>
        <v>#REF!</v>
      </c>
      <c r="H435" t="str">
        <f>IF(ISBLANK(INDEX('Milestone Tracker – MENA'!$G:$G,180)),"",INDEX('Milestone Tracker – MENA'!$G:$G,180))</f>
        <v/>
      </c>
      <c r="I435" t="str">
        <f>IF(ISBLANK(INDEX('Milestone Tracker – MENA'!$H:$H,180)),"",INDEX('Milestone Tracker – MENA'!$H:$H,180))</f>
        <v/>
      </c>
      <c r="J435" t="e">
        <f>IF(ISBLANK(INDEX('Milestone Tracker – MENA'!#REF!,180)),"",INDEX('Milestone Tracker – MENA'!#REF!,180))</f>
        <v>#REF!</v>
      </c>
      <c r="K435">
        <f t="shared" si="12"/>
        <v>0</v>
      </c>
      <c r="L435">
        <f t="shared" si="13"/>
        <v>0</v>
      </c>
    </row>
    <row r="436" spans="1:12" x14ac:dyDescent="0.35">
      <c r="A436">
        <v>181</v>
      </c>
      <c r="B436">
        <f>IF(ISBLANK(INDEX('Milestone Tracker – MENA'!$B:$B,181)),B435,INDEX('Milestone Tracker – MENA'!$B:$B,181))</f>
        <v>0</v>
      </c>
      <c r="C436">
        <f>IF(ISBLANK(INDEX('Milestone Tracker – MENA'!$C:$C,181)),C435,INDEX('Milestone Tracker – MENA'!$C:$C,181))</f>
        <v>0</v>
      </c>
      <c r="D436">
        <f>IF(ISBLANK(INDEX('Milestone Tracker – MENA'!$D:$D,181)),D435,INDEX('Milestone Tracker – MENA'!$D:$D,181))</f>
        <v>0</v>
      </c>
      <c r="E436" t="str">
        <f>IF(ISBLANK(INDEX('Milestone Tracker – MENA'!$E:$E,181)),"",INDEX('Milestone Tracker – MENA'!$E:$E,181))</f>
        <v/>
      </c>
      <c r="F436" t="str">
        <f>IF(ISBLANK(INDEX('Milestone Tracker – MENA'!$F:$F,181)),"",INDEX('Milestone Tracker – MENA'!$F:$F,181))</f>
        <v/>
      </c>
      <c r="G436" t="e">
        <f>IF(ISBLANK(INDEX('Milestone Tracker – MENA'!#REF!,181)),"",INDEX('Milestone Tracker – MENA'!#REF!,181))</f>
        <v>#REF!</v>
      </c>
      <c r="H436" t="str">
        <f>IF(ISBLANK(INDEX('Milestone Tracker – MENA'!$G:$G,181)),"",INDEX('Milestone Tracker – MENA'!$G:$G,181))</f>
        <v/>
      </c>
      <c r="I436" t="str">
        <f>IF(ISBLANK(INDEX('Milestone Tracker – MENA'!$H:$H,181)),"",INDEX('Milestone Tracker – MENA'!$H:$H,181))</f>
        <v/>
      </c>
      <c r="J436" t="e">
        <f>IF(ISBLANK(INDEX('Milestone Tracker – MENA'!#REF!,181)),"",INDEX('Milestone Tracker – MENA'!#REF!,181))</f>
        <v>#REF!</v>
      </c>
      <c r="K436">
        <f t="shared" si="12"/>
        <v>0</v>
      </c>
      <c r="L436">
        <f t="shared" si="13"/>
        <v>0</v>
      </c>
    </row>
    <row r="437" spans="1:12" x14ac:dyDescent="0.35">
      <c r="A437">
        <v>182</v>
      </c>
      <c r="B437">
        <f>IF(ISBLANK(INDEX('Milestone Tracker – MENA'!$B:$B,182)),B436,INDEX('Milestone Tracker – MENA'!$B:$B,182))</f>
        <v>0</v>
      </c>
      <c r="C437">
        <f>IF(ISBLANK(INDEX('Milestone Tracker – MENA'!$C:$C,182)),C436,INDEX('Milestone Tracker – MENA'!$C:$C,182))</f>
        <v>0</v>
      </c>
      <c r="D437">
        <f>IF(ISBLANK(INDEX('Milestone Tracker – MENA'!$D:$D,182)),D436,INDEX('Milestone Tracker – MENA'!$D:$D,182))</f>
        <v>0</v>
      </c>
      <c r="E437" t="str">
        <f>IF(ISBLANK(INDEX('Milestone Tracker – MENA'!$E:$E,182)),"",INDEX('Milestone Tracker – MENA'!$E:$E,182))</f>
        <v/>
      </c>
      <c r="F437" t="str">
        <f>IF(ISBLANK(INDEX('Milestone Tracker – MENA'!$F:$F,182)),"",INDEX('Milestone Tracker – MENA'!$F:$F,182))</f>
        <v/>
      </c>
      <c r="G437" t="e">
        <f>IF(ISBLANK(INDEX('Milestone Tracker – MENA'!#REF!,182)),"",INDEX('Milestone Tracker – MENA'!#REF!,182))</f>
        <v>#REF!</v>
      </c>
      <c r="H437" t="str">
        <f>IF(ISBLANK(INDEX('Milestone Tracker – MENA'!$G:$G,182)),"",INDEX('Milestone Tracker – MENA'!$G:$G,182))</f>
        <v/>
      </c>
      <c r="I437" t="str">
        <f>IF(ISBLANK(INDEX('Milestone Tracker – MENA'!$H:$H,182)),"",INDEX('Milestone Tracker – MENA'!$H:$H,182))</f>
        <v/>
      </c>
      <c r="J437" t="e">
        <f>IF(ISBLANK(INDEX('Milestone Tracker – MENA'!#REF!,182)),"",INDEX('Milestone Tracker – MENA'!#REF!,182))</f>
        <v>#REF!</v>
      </c>
      <c r="K437">
        <f t="shared" si="12"/>
        <v>0</v>
      </c>
      <c r="L437">
        <f t="shared" si="13"/>
        <v>0</v>
      </c>
    </row>
    <row r="438" spans="1:12" x14ac:dyDescent="0.35">
      <c r="A438">
        <v>183</v>
      </c>
      <c r="B438">
        <f>IF(ISBLANK(INDEX('Milestone Tracker – MENA'!$B:$B,183)),B437,INDEX('Milestone Tracker – MENA'!$B:$B,183))</f>
        <v>0</v>
      </c>
      <c r="C438">
        <f>IF(ISBLANK(INDEX('Milestone Tracker – MENA'!$C:$C,183)),C437,INDEX('Milestone Tracker – MENA'!$C:$C,183))</f>
        <v>0</v>
      </c>
      <c r="D438">
        <f>IF(ISBLANK(INDEX('Milestone Tracker – MENA'!$D:$D,183)),D437,INDEX('Milestone Tracker – MENA'!$D:$D,183))</f>
        <v>0</v>
      </c>
      <c r="E438" t="str">
        <f>IF(ISBLANK(INDEX('Milestone Tracker – MENA'!$E:$E,183)),"",INDEX('Milestone Tracker – MENA'!$E:$E,183))</f>
        <v/>
      </c>
      <c r="F438" t="str">
        <f>IF(ISBLANK(INDEX('Milestone Tracker – MENA'!$F:$F,183)),"",INDEX('Milestone Tracker – MENA'!$F:$F,183))</f>
        <v/>
      </c>
      <c r="G438" t="e">
        <f>IF(ISBLANK(INDEX('Milestone Tracker – MENA'!#REF!,183)),"",INDEX('Milestone Tracker – MENA'!#REF!,183))</f>
        <v>#REF!</v>
      </c>
      <c r="H438" t="str">
        <f>IF(ISBLANK(INDEX('Milestone Tracker – MENA'!$G:$G,183)),"",INDEX('Milestone Tracker – MENA'!$G:$G,183))</f>
        <v/>
      </c>
      <c r="I438" t="str">
        <f>IF(ISBLANK(INDEX('Milestone Tracker – MENA'!$H:$H,183)),"",INDEX('Milestone Tracker – MENA'!$H:$H,183))</f>
        <v/>
      </c>
      <c r="J438" t="e">
        <f>IF(ISBLANK(INDEX('Milestone Tracker – MENA'!#REF!,183)),"",INDEX('Milestone Tracker – MENA'!#REF!,183))</f>
        <v>#REF!</v>
      </c>
      <c r="K438">
        <f t="shared" si="12"/>
        <v>0</v>
      </c>
      <c r="L438">
        <f t="shared" si="13"/>
        <v>0</v>
      </c>
    </row>
    <row r="439" spans="1:12" x14ac:dyDescent="0.35">
      <c r="A439">
        <v>184</v>
      </c>
      <c r="B439">
        <f>IF(ISBLANK(INDEX('Milestone Tracker – MENA'!$B:$B,184)),B438,INDEX('Milestone Tracker – MENA'!$B:$B,184))</f>
        <v>0</v>
      </c>
      <c r="C439">
        <f>IF(ISBLANK(INDEX('Milestone Tracker – MENA'!$C:$C,184)),C438,INDEX('Milestone Tracker – MENA'!$C:$C,184))</f>
        <v>0</v>
      </c>
      <c r="D439">
        <f>IF(ISBLANK(INDEX('Milestone Tracker – MENA'!$D:$D,184)),D438,INDEX('Milestone Tracker – MENA'!$D:$D,184))</f>
        <v>0</v>
      </c>
      <c r="E439" t="str">
        <f>IF(ISBLANK(INDEX('Milestone Tracker – MENA'!$E:$E,184)),"",INDEX('Milestone Tracker – MENA'!$E:$E,184))</f>
        <v/>
      </c>
      <c r="F439" t="str">
        <f>IF(ISBLANK(INDEX('Milestone Tracker – MENA'!$F:$F,184)),"",INDEX('Milestone Tracker – MENA'!$F:$F,184))</f>
        <v/>
      </c>
      <c r="G439" t="e">
        <f>IF(ISBLANK(INDEX('Milestone Tracker – MENA'!#REF!,184)),"",INDEX('Milestone Tracker – MENA'!#REF!,184))</f>
        <v>#REF!</v>
      </c>
      <c r="H439" t="str">
        <f>IF(ISBLANK(INDEX('Milestone Tracker – MENA'!$G:$G,184)),"",INDEX('Milestone Tracker – MENA'!$G:$G,184))</f>
        <v/>
      </c>
      <c r="I439" t="str">
        <f>IF(ISBLANK(INDEX('Milestone Tracker – MENA'!$H:$H,184)),"",INDEX('Milestone Tracker – MENA'!$H:$H,184))</f>
        <v/>
      </c>
      <c r="J439" t="e">
        <f>IF(ISBLANK(INDEX('Milestone Tracker – MENA'!#REF!,184)),"",INDEX('Milestone Tracker – MENA'!#REF!,184))</f>
        <v>#REF!</v>
      </c>
      <c r="K439">
        <f t="shared" si="12"/>
        <v>0</v>
      </c>
      <c r="L439">
        <f t="shared" si="13"/>
        <v>0</v>
      </c>
    </row>
    <row r="440" spans="1:12" x14ac:dyDescent="0.35">
      <c r="A440">
        <v>185</v>
      </c>
      <c r="B440">
        <f>IF(ISBLANK(INDEX('Milestone Tracker – MENA'!$B:$B,185)),B439,INDEX('Milestone Tracker – MENA'!$B:$B,185))</f>
        <v>0</v>
      </c>
      <c r="C440">
        <f>IF(ISBLANK(INDEX('Milestone Tracker – MENA'!$C:$C,185)),C439,INDEX('Milestone Tracker – MENA'!$C:$C,185))</f>
        <v>0</v>
      </c>
      <c r="D440">
        <f>IF(ISBLANK(INDEX('Milestone Tracker – MENA'!$D:$D,185)),D439,INDEX('Milestone Tracker – MENA'!$D:$D,185))</f>
        <v>0</v>
      </c>
      <c r="E440" t="str">
        <f>IF(ISBLANK(INDEX('Milestone Tracker – MENA'!$E:$E,185)),"",INDEX('Milestone Tracker – MENA'!$E:$E,185))</f>
        <v/>
      </c>
      <c r="F440" t="str">
        <f>IF(ISBLANK(INDEX('Milestone Tracker – MENA'!$F:$F,185)),"",INDEX('Milestone Tracker – MENA'!$F:$F,185))</f>
        <v/>
      </c>
      <c r="G440" t="e">
        <f>IF(ISBLANK(INDEX('Milestone Tracker – MENA'!#REF!,185)),"",INDEX('Milestone Tracker – MENA'!#REF!,185))</f>
        <v>#REF!</v>
      </c>
      <c r="H440" t="str">
        <f>IF(ISBLANK(INDEX('Milestone Tracker – MENA'!$G:$G,185)),"",INDEX('Milestone Tracker – MENA'!$G:$G,185))</f>
        <v/>
      </c>
      <c r="I440" t="str">
        <f>IF(ISBLANK(INDEX('Milestone Tracker – MENA'!$H:$H,185)),"",INDEX('Milestone Tracker – MENA'!$H:$H,185))</f>
        <v/>
      </c>
      <c r="J440" t="e">
        <f>IF(ISBLANK(INDEX('Milestone Tracker – MENA'!#REF!,185)),"",INDEX('Milestone Tracker – MENA'!#REF!,185))</f>
        <v>#REF!</v>
      </c>
      <c r="K440">
        <f t="shared" si="12"/>
        <v>0</v>
      </c>
      <c r="L440">
        <f t="shared" si="13"/>
        <v>0</v>
      </c>
    </row>
    <row r="441" spans="1:12" x14ac:dyDescent="0.35">
      <c r="A441">
        <v>186</v>
      </c>
      <c r="B441">
        <f>IF(ISBLANK(INDEX('Milestone Tracker – MENA'!$B:$B,186)),B440,INDEX('Milestone Tracker – MENA'!$B:$B,186))</f>
        <v>0</v>
      </c>
      <c r="C441">
        <f>IF(ISBLANK(INDEX('Milestone Tracker – MENA'!$C:$C,186)),C440,INDEX('Milestone Tracker – MENA'!$C:$C,186))</f>
        <v>0</v>
      </c>
      <c r="D441">
        <f>IF(ISBLANK(INDEX('Milestone Tracker – MENA'!$D:$D,186)),D440,INDEX('Milestone Tracker – MENA'!$D:$D,186))</f>
        <v>0</v>
      </c>
      <c r="E441" t="str">
        <f>IF(ISBLANK(INDEX('Milestone Tracker – MENA'!$E:$E,186)),"",INDEX('Milestone Tracker – MENA'!$E:$E,186))</f>
        <v/>
      </c>
      <c r="F441" t="str">
        <f>IF(ISBLANK(INDEX('Milestone Tracker – MENA'!$F:$F,186)),"",INDEX('Milestone Tracker – MENA'!$F:$F,186))</f>
        <v/>
      </c>
      <c r="G441" t="e">
        <f>IF(ISBLANK(INDEX('Milestone Tracker – MENA'!#REF!,186)),"",INDEX('Milestone Tracker – MENA'!#REF!,186))</f>
        <v>#REF!</v>
      </c>
      <c r="H441" t="str">
        <f>IF(ISBLANK(INDEX('Milestone Tracker – MENA'!$G:$G,186)),"",INDEX('Milestone Tracker – MENA'!$G:$G,186))</f>
        <v/>
      </c>
      <c r="I441" t="str">
        <f>IF(ISBLANK(INDEX('Milestone Tracker – MENA'!$H:$H,186)),"",INDEX('Milestone Tracker – MENA'!$H:$H,186))</f>
        <v/>
      </c>
      <c r="J441" t="e">
        <f>IF(ISBLANK(INDEX('Milestone Tracker – MENA'!#REF!,186)),"",INDEX('Milestone Tracker – MENA'!#REF!,186))</f>
        <v>#REF!</v>
      </c>
      <c r="K441">
        <f t="shared" si="12"/>
        <v>0</v>
      </c>
      <c r="L441">
        <f t="shared" si="13"/>
        <v>0</v>
      </c>
    </row>
    <row r="442" spans="1:12" x14ac:dyDescent="0.35">
      <c r="A442">
        <v>187</v>
      </c>
      <c r="B442">
        <f>IF(ISBLANK(INDEX('Milestone Tracker – MENA'!$B:$B,187)),B441,INDEX('Milestone Tracker – MENA'!$B:$B,187))</f>
        <v>0</v>
      </c>
      <c r="C442">
        <f>IF(ISBLANK(INDEX('Milestone Tracker – MENA'!$C:$C,187)),C441,INDEX('Milestone Tracker – MENA'!$C:$C,187))</f>
        <v>0</v>
      </c>
      <c r="D442">
        <f>IF(ISBLANK(INDEX('Milestone Tracker – MENA'!$D:$D,187)),D441,INDEX('Milestone Tracker – MENA'!$D:$D,187))</f>
        <v>0</v>
      </c>
      <c r="E442" t="str">
        <f>IF(ISBLANK(INDEX('Milestone Tracker – MENA'!$E:$E,187)),"",INDEX('Milestone Tracker – MENA'!$E:$E,187))</f>
        <v/>
      </c>
      <c r="F442" t="str">
        <f>IF(ISBLANK(INDEX('Milestone Tracker – MENA'!$F:$F,187)),"",INDEX('Milestone Tracker – MENA'!$F:$F,187))</f>
        <v/>
      </c>
      <c r="G442" t="e">
        <f>IF(ISBLANK(INDEX('Milestone Tracker – MENA'!#REF!,187)),"",INDEX('Milestone Tracker – MENA'!#REF!,187))</f>
        <v>#REF!</v>
      </c>
      <c r="H442" t="str">
        <f>IF(ISBLANK(INDEX('Milestone Tracker – MENA'!$G:$G,187)),"",INDEX('Milestone Tracker – MENA'!$G:$G,187))</f>
        <v/>
      </c>
      <c r="I442" t="str">
        <f>IF(ISBLANK(INDEX('Milestone Tracker – MENA'!$H:$H,187)),"",INDEX('Milestone Tracker – MENA'!$H:$H,187))</f>
        <v/>
      </c>
      <c r="J442" t="e">
        <f>IF(ISBLANK(INDEX('Milestone Tracker – MENA'!#REF!,187)),"",INDEX('Milestone Tracker – MENA'!#REF!,187))</f>
        <v>#REF!</v>
      </c>
      <c r="K442">
        <f t="shared" si="12"/>
        <v>0</v>
      </c>
      <c r="L442">
        <f t="shared" si="13"/>
        <v>0</v>
      </c>
    </row>
    <row r="443" spans="1:12" x14ac:dyDescent="0.35">
      <c r="A443">
        <v>188</v>
      </c>
      <c r="B443">
        <f>IF(ISBLANK(INDEX('Milestone Tracker – MENA'!$B:$B,188)),B442,INDEX('Milestone Tracker – MENA'!$B:$B,188))</f>
        <v>0</v>
      </c>
      <c r="C443">
        <f>IF(ISBLANK(INDEX('Milestone Tracker – MENA'!$C:$C,188)),C442,INDEX('Milestone Tracker – MENA'!$C:$C,188))</f>
        <v>0</v>
      </c>
      <c r="D443">
        <f>IF(ISBLANK(INDEX('Milestone Tracker – MENA'!$D:$D,188)),D442,INDEX('Milestone Tracker – MENA'!$D:$D,188))</f>
        <v>0</v>
      </c>
      <c r="E443" t="str">
        <f>IF(ISBLANK(INDEX('Milestone Tracker – MENA'!$E:$E,188)),"",INDEX('Milestone Tracker – MENA'!$E:$E,188))</f>
        <v/>
      </c>
      <c r="F443" t="str">
        <f>IF(ISBLANK(INDEX('Milestone Tracker – MENA'!$F:$F,188)),"",INDEX('Milestone Tracker – MENA'!$F:$F,188))</f>
        <v/>
      </c>
      <c r="G443" t="e">
        <f>IF(ISBLANK(INDEX('Milestone Tracker – MENA'!#REF!,188)),"",INDEX('Milestone Tracker – MENA'!#REF!,188))</f>
        <v>#REF!</v>
      </c>
      <c r="H443" t="str">
        <f>IF(ISBLANK(INDEX('Milestone Tracker – MENA'!$G:$G,188)),"",INDEX('Milestone Tracker – MENA'!$G:$G,188))</f>
        <v/>
      </c>
      <c r="I443" t="str">
        <f>IF(ISBLANK(INDEX('Milestone Tracker – MENA'!$H:$H,188)),"",INDEX('Milestone Tracker – MENA'!$H:$H,188))</f>
        <v/>
      </c>
      <c r="J443" t="e">
        <f>IF(ISBLANK(INDEX('Milestone Tracker – MENA'!#REF!,188)),"",INDEX('Milestone Tracker – MENA'!#REF!,188))</f>
        <v>#REF!</v>
      </c>
      <c r="K443">
        <f t="shared" si="12"/>
        <v>0</v>
      </c>
      <c r="L443">
        <f t="shared" si="13"/>
        <v>0</v>
      </c>
    </row>
    <row r="444" spans="1:12" x14ac:dyDescent="0.35">
      <c r="A444">
        <v>189</v>
      </c>
      <c r="B444">
        <f>IF(ISBLANK(INDEX('Milestone Tracker – MENA'!$B:$B,189)),B443,INDEX('Milestone Tracker – MENA'!$B:$B,189))</f>
        <v>0</v>
      </c>
      <c r="C444">
        <f>IF(ISBLANK(INDEX('Milestone Tracker – MENA'!$C:$C,189)),C443,INDEX('Milestone Tracker – MENA'!$C:$C,189))</f>
        <v>0</v>
      </c>
      <c r="D444">
        <f>IF(ISBLANK(INDEX('Milestone Tracker – MENA'!$D:$D,189)),D443,INDEX('Milestone Tracker – MENA'!$D:$D,189))</f>
        <v>0</v>
      </c>
      <c r="E444" t="str">
        <f>IF(ISBLANK(INDEX('Milestone Tracker – MENA'!$E:$E,189)),"",INDEX('Milestone Tracker – MENA'!$E:$E,189))</f>
        <v/>
      </c>
      <c r="F444" t="str">
        <f>IF(ISBLANK(INDEX('Milestone Tracker – MENA'!$F:$F,189)),"",INDEX('Milestone Tracker – MENA'!$F:$F,189))</f>
        <v/>
      </c>
      <c r="G444" t="e">
        <f>IF(ISBLANK(INDEX('Milestone Tracker – MENA'!#REF!,189)),"",INDEX('Milestone Tracker – MENA'!#REF!,189))</f>
        <v>#REF!</v>
      </c>
      <c r="H444" t="str">
        <f>IF(ISBLANK(INDEX('Milestone Tracker – MENA'!$G:$G,189)),"",INDEX('Milestone Tracker – MENA'!$G:$G,189))</f>
        <v/>
      </c>
      <c r="I444" t="str">
        <f>IF(ISBLANK(INDEX('Milestone Tracker – MENA'!$H:$H,189)),"",INDEX('Milestone Tracker – MENA'!$H:$H,189))</f>
        <v/>
      </c>
      <c r="J444" t="e">
        <f>IF(ISBLANK(INDEX('Milestone Tracker – MENA'!#REF!,189)),"",INDEX('Milestone Tracker – MENA'!#REF!,189))</f>
        <v>#REF!</v>
      </c>
      <c r="K444">
        <f t="shared" si="12"/>
        <v>0</v>
      </c>
      <c r="L444">
        <f t="shared" si="13"/>
        <v>0</v>
      </c>
    </row>
    <row r="445" spans="1:12" x14ac:dyDescent="0.35">
      <c r="A445">
        <v>190</v>
      </c>
      <c r="B445">
        <f>IF(ISBLANK(INDEX('Milestone Tracker – MENA'!$B:$B,190)),B444,INDEX('Milestone Tracker – MENA'!$B:$B,190))</f>
        <v>0</v>
      </c>
      <c r="C445">
        <f>IF(ISBLANK(INDEX('Milestone Tracker – MENA'!$C:$C,190)),C444,INDEX('Milestone Tracker – MENA'!$C:$C,190))</f>
        <v>0</v>
      </c>
      <c r="D445">
        <f>IF(ISBLANK(INDEX('Milestone Tracker – MENA'!$D:$D,190)),D444,INDEX('Milestone Tracker – MENA'!$D:$D,190))</f>
        <v>0</v>
      </c>
      <c r="E445" t="str">
        <f>IF(ISBLANK(INDEX('Milestone Tracker – MENA'!$E:$E,190)),"",INDEX('Milestone Tracker – MENA'!$E:$E,190))</f>
        <v/>
      </c>
      <c r="F445" t="str">
        <f>IF(ISBLANK(INDEX('Milestone Tracker – MENA'!$F:$F,190)),"",INDEX('Milestone Tracker – MENA'!$F:$F,190))</f>
        <v/>
      </c>
      <c r="G445" t="e">
        <f>IF(ISBLANK(INDEX('Milestone Tracker – MENA'!#REF!,190)),"",INDEX('Milestone Tracker – MENA'!#REF!,190))</f>
        <v>#REF!</v>
      </c>
      <c r="H445" t="str">
        <f>IF(ISBLANK(INDEX('Milestone Tracker – MENA'!$G:$G,190)),"",INDEX('Milestone Tracker – MENA'!$G:$G,190))</f>
        <v/>
      </c>
      <c r="I445" t="str">
        <f>IF(ISBLANK(INDEX('Milestone Tracker – MENA'!$H:$H,190)),"",INDEX('Milestone Tracker – MENA'!$H:$H,190))</f>
        <v/>
      </c>
      <c r="J445" t="e">
        <f>IF(ISBLANK(INDEX('Milestone Tracker – MENA'!#REF!,190)),"",INDEX('Milestone Tracker – MENA'!#REF!,190))</f>
        <v>#REF!</v>
      </c>
      <c r="K445">
        <f t="shared" si="12"/>
        <v>0</v>
      </c>
      <c r="L445">
        <f t="shared" si="13"/>
        <v>0</v>
      </c>
    </row>
    <row r="446" spans="1:12" x14ac:dyDescent="0.35">
      <c r="A446">
        <v>191</v>
      </c>
      <c r="B446">
        <f>IF(ISBLANK(INDEX('Milestone Tracker – MENA'!$B:$B,191)),B445,INDEX('Milestone Tracker – MENA'!$B:$B,191))</f>
        <v>0</v>
      </c>
      <c r="C446">
        <f>IF(ISBLANK(INDEX('Milestone Tracker – MENA'!$C:$C,191)),C445,INDEX('Milestone Tracker – MENA'!$C:$C,191))</f>
        <v>0</v>
      </c>
      <c r="D446">
        <f>IF(ISBLANK(INDEX('Milestone Tracker – MENA'!$D:$D,191)),D445,INDEX('Milestone Tracker – MENA'!$D:$D,191))</f>
        <v>0</v>
      </c>
      <c r="E446" t="str">
        <f>IF(ISBLANK(INDEX('Milestone Tracker – MENA'!$E:$E,191)),"",INDEX('Milestone Tracker – MENA'!$E:$E,191))</f>
        <v/>
      </c>
      <c r="F446" t="str">
        <f>IF(ISBLANK(INDEX('Milestone Tracker – MENA'!$F:$F,191)),"",INDEX('Milestone Tracker – MENA'!$F:$F,191))</f>
        <v/>
      </c>
      <c r="G446" t="e">
        <f>IF(ISBLANK(INDEX('Milestone Tracker – MENA'!#REF!,191)),"",INDEX('Milestone Tracker – MENA'!#REF!,191))</f>
        <v>#REF!</v>
      </c>
      <c r="H446" t="str">
        <f>IF(ISBLANK(INDEX('Milestone Tracker – MENA'!$G:$G,191)),"",INDEX('Milestone Tracker – MENA'!$G:$G,191))</f>
        <v/>
      </c>
      <c r="I446" t="str">
        <f>IF(ISBLANK(INDEX('Milestone Tracker – MENA'!$H:$H,191)),"",INDEX('Milestone Tracker – MENA'!$H:$H,191))</f>
        <v/>
      </c>
      <c r="J446" t="e">
        <f>IF(ISBLANK(INDEX('Milestone Tracker – MENA'!#REF!,191)),"",INDEX('Milestone Tracker – MENA'!#REF!,191))</f>
        <v>#REF!</v>
      </c>
      <c r="K446">
        <f t="shared" si="12"/>
        <v>0</v>
      </c>
      <c r="L446">
        <f t="shared" si="13"/>
        <v>0</v>
      </c>
    </row>
    <row r="447" spans="1:12" x14ac:dyDescent="0.35">
      <c r="A447">
        <v>192</v>
      </c>
      <c r="B447">
        <f>IF(ISBLANK(INDEX('Milestone Tracker – MENA'!$B:$B,192)),B446,INDEX('Milestone Tracker – MENA'!$B:$B,192))</f>
        <v>0</v>
      </c>
      <c r="C447">
        <f>IF(ISBLANK(INDEX('Milestone Tracker – MENA'!$C:$C,192)),C446,INDEX('Milestone Tracker – MENA'!$C:$C,192))</f>
        <v>0</v>
      </c>
      <c r="D447">
        <f>IF(ISBLANK(INDEX('Milestone Tracker – MENA'!$D:$D,192)),D446,INDEX('Milestone Tracker – MENA'!$D:$D,192))</f>
        <v>0</v>
      </c>
      <c r="E447" t="str">
        <f>IF(ISBLANK(INDEX('Milestone Tracker – MENA'!$E:$E,192)),"",INDEX('Milestone Tracker – MENA'!$E:$E,192))</f>
        <v/>
      </c>
      <c r="F447" t="str">
        <f>IF(ISBLANK(INDEX('Milestone Tracker – MENA'!$F:$F,192)),"",INDEX('Milestone Tracker – MENA'!$F:$F,192))</f>
        <v/>
      </c>
      <c r="G447" t="e">
        <f>IF(ISBLANK(INDEX('Milestone Tracker – MENA'!#REF!,192)),"",INDEX('Milestone Tracker – MENA'!#REF!,192))</f>
        <v>#REF!</v>
      </c>
      <c r="H447" t="str">
        <f>IF(ISBLANK(INDEX('Milestone Tracker – MENA'!$G:$G,192)),"",INDEX('Milestone Tracker – MENA'!$G:$G,192))</f>
        <v/>
      </c>
      <c r="I447" t="str">
        <f>IF(ISBLANK(INDEX('Milestone Tracker – MENA'!$H:$H,192)),"",INDEX('Milestone Tracker – MENA'!$H:$H,192))</f>
        <v/>
      </c>
      <c r="J447" t="e">
        <f>IF(ISBLANK(INDEX('Milestone Tracker – MENA'!#REF!,192)),"",INDEX('Milestone Tracker – MENA'!#REF!,192))</f>
        <v>#REF!</v>
      </c>
      <c r="K447">
        <f t="shared" si="12"/>
        <v>0</v>
      </c>
      <c r="L447">
        <f t="shared" si="13"/>
        <v>0</v>
      </c>
    </row>
    <row r="448" spans="1:12" x14ac:dyDescent="0.35">
      <c r="A448">
        <v>193</v>
      </c>
      <c r="B448">
        <f>IF(ISBLANK(INDEX('Milestone Tracker – MENA'!$B:$B,193)),B447,INDEX('Milestone Tracker – MENA'!$B:$B,193))</f>
        <v>0</v>
      </c>
      <c r="C448">
        <f>IF(ISBLANK(INDEX('Milestone Tracker – MENA'!$C:$C,193)),C447,INDEX('Milestone Tracker – MENA'!$C:$C,193))</f>
        <v>0</v>
      </c>
      <c r="D448">
        <f>IF(ISBLANK(INDEX('Milestone Tracker – MENA'!$D:$D,193)),D447,INDEX('Milestone Tracker – MENA'!$D:$D,193))</f>
        <v>0</v>
      </c>
      <c r="E448" t="str">
        <f>IF(ISBLANK(INDEX('Milestone Tracker – MENA'!$E:$E,193)),"",INDEX('Milestone Tracker – MENA'!$E:$E,193))</f>
        <v/>
      </c>
      <c r="F448" t="str">
        <f>IF(ISBLANK(INDEX('Milestone Tracker – MENA'!$F:$F,193)),"",INDEX('Milestone Tracker – MENA'!$F:$F,193))</f>
        <v/>
      </c>
      <c r="G448" t="e">
        <f>IF(ISBLANK(INDEX('Milestone Tracker – MENA'!#REF!,193)),"",INDEX('Milestone Tracker – MENA'!#REF!,193))</f>
        <v>#REF!</v>
      </c>
      <c r="H448" t="str">
        <f>IF(ISBLANK(INDEX('Milestone Tracker – MENA'!$G:$G,193)),"",INDEX('Milestone Tracker – MENA'!$G:$G,193))</f>
        <v/>
      </c>
      <c r="I448" t="str">
        <f>IF(ISBLANK(INDEX('Milestone Tracker – MENA'!$H:$H,193)),"",INDEX('Milestone Tracker – MENA'!$H:$H,193))</f>
        <v/>
      </c>
      <c r="J448" t="e">
        <f>IF(ISBLANK(INDEX('Milestone Tracker – MENA'!#REF!,193)),"",INDEX('Milestone Tracker – MENA'!#REF!,193))</f>
        <v>#REF!</v>
      </c>
      <c r="K448">
        <f t="shared" si="12"/>
        <v>0</v>
      </c>
      <c r="L448">
        <f t="shared" si="13"/>
        <v>0</v>
      </c>
    </row>
    <row r="449" spans="1:12" x14ac:dyDescent="0.35">
      <c r="A449">
        <v>194</v>
      </c>
      <c r="B449">
        <f>IF(ISBLANK(INDEX('Milestone Tracker – MENA'!$B:$B,194)),B448,INDEX('Milestone Tracker – MENA'!$B:$B,194))</f>
        <v>0</v>
      </c>
      <c r="C449">
        <f>IF(ISBLANK(INDEX('Milestone Tracker – MENA'!$C:$C,194)),C448,INDEX('Milestone Tracker – MENA'!$C:$C,194))</f>
        <v>0</v>
      </c>
      <c r="D449">
        <f>IF(ISBLANK(INDEX('Milestone Tracker – MENA'!$D:$D,194)),D448,INDEX('Milestone Tracker – MENA'!$D:$D,194))</f>
        <v>0</v>
      </c>
      <c r="E449" t="str">
        <f>IF(ISBLANK(INDEX('Milestone Tracker – MENA'!$E:$E,194)),"",INDEX('Milestone Tracker – MENA'!$E:$E,194))</f>
        <v/>
      </c>
      <c r="F449" t="str">
        <f>IF(ISBLANK(INDEX('Milestone Tracker – MENA'!$F:$F,194)),"",INDEX('Milestone Tracker – MENA'!$F:$F,194))</f>
        <v/>
      </c>
      <c r="G449" t="e">
        <f>IF(ISBLANK(INDEX('Milestone Tracker – MENA'!#REF!,194)),"",INDEX('Milestone Tracker – MENA'!#REF!,194))</f>
        <v>#REF!</v>
      </c>
      <c r="H449" t="str">
        <f>IF(ISBLANK(INDEX('Milestone Tracker – MENA'!$G:$G,194)),"",INDEX('Milestone Tracker – MENA'!$G:$G,194))</f>
        <v/>
      </c>
      <c r="I449" t="str">
        <f>IF(ISBLANK(INDEX('Milestone Tracker – MENA'!$H:$H,194)),"",INDEX('Milestone Tracker – MENA'!$H:$H,194))</f>
        <v/>
      </c>
      <c r="J449" t="e">
        <f>IF(ISBLANK(INDEX('Milestone Tracker – MENA'!#REF!,194)),"",INDEX('Milestone Tracker – MENA'!#REF!,194))</f>
        <v>#REF!</v>
      </c>
      <c r="K449">
        <f t="shared" si="12"/>
        <v>0</v>
      </c>
      <c r="L449">
        <f t="shared" si="13"/>
        <v>0</v>
      </c>
    </row>
    <row r="450" spans="1:12" x14ac:dyDescent="0.35">
      <c r="A450">
        <v>195</v>
      </c>
      <c r="B450">
        <f>IF(ISBLANK(INDEX('Milestone Tracker – MENA'!$B:$B,195)),B449,INDEX('Milestone Tracker – MENA'!$B:$B,195))</f>
        <v>0</v>
      </c>
      <c r="C450">
        <f>IF(ISBLANK(INDEX('Milestone Tracker – MENA'!$C:$C,195)),C449,INDEX('Milestone Tracker – MENA'!$C:$C,195))</f>
        <v>0</v>
      </c>
      <c r="D450">
        <f>IF(ISBLANK(INDEX('Milestone Tracker – MENA'!$D:$D,195)),D449,INDEX('Milestone Tracker – MENA'!$D:$D,195))</f>
        <v>0</v>
      </c>
      <c r="E450" t="str">
        <f>IF(ISBLANK(INDEX('Milestone Tracker – MENA'!$E:$E,195)),"",INDEX('Milestone Tracker – MENA'!$E:$E,195))</f>
        <v/>
      </c>
      <c r="F450" t="str">
        <f>IF(ISBLANK(INDEX('Milestone Tracker – MENA'!$F:$F,195)),"",INDEX('Milestone Tracker – MENA'!$F:$F,195))</f>
        <v/>
      </c>
      <c r="G450" t="e">
        <f>IF(ISBLANK(INDEX('Milestone Tracker – MENA'!#REF!,195)),"",INDEX('Milestone Tracker – MENA'!#REF!,195))</f>
        <v>#REF!</v>
      </c>
      <c r="H450" t="str">
        <f>IF(ISBLANK(INDEX('Milestone Tracker – MENA'!$G:$G,195)),"",INDEX('Milestone Tracker – MENA'!$G:$G,195))</f>
        <v/>
      </c>
      <c r="I450" t="str">
        <f>IF(ISBLANK(INDEX('Milestone Tracker – MENA'!$H:$H,195)),"",INDEX('Milestone Tracker – MENA'!$H:$H,195))</f>
        <v/>
      </c>
      <c r="J450" t="e">
        <f>IF(ISBLANK(INDEX('Milestone Tracker – MENA'!#REF!,195)),"",INDEX('Milestone Tracker – MENA'!#REF!,195))</f>
        <v>#REF!</v>
      </c>
      <c r="K450">
        <f t="shared" ref="K450:K515" si="14">IF(LEFT($E450,9)="Milestone",1,0)</f>
        <v>0</v>
      </c>
      <c r="L450">
        <f t="shared" ref="L450:L513" si="15">L449+K450</f>
        <v>0</v>
      </c>
    </row>
    <row r="451" spans="1:12" x14ac:dyDescent="0.35">
      <c r="A451">
        <v>196</v>
      </c>
      <c r="B451">
        <f>IF(ISBLANK(INDEX('Milestone Tracker – MENA'!$B:$B,196)),B450,INDEX('Milestone Tracker – MENA'!$B:$B,196))</f>
        <v>0</v>
      </c>
      <c r="C451">
        <f>IF(ISBLANK(INDEX('Milestone Tracker – MENA'!$C:$C,196)),C450,INDEX('Milestone Tracker – MENA'!$C:$C,196))</f>
        <v>0</v>
      </c>
      <c r="D451">
        <f>IF(ISBLANK(INDEX('Milestone Tracker – MENA'!$D:$D,196)),D450,INDEX('Milestone Tracker – MENA'!$D:$D,196))</f>
        <v>0</v>
      </c>
      <c r="E451" t="str">
        <f>IF(ISBLANK(INDEX('Milestone Tracker – MENA'!$E:$E,196)),"",INDEX('Milestone Tracker – MENA'!$E:$E,196))</f>
        <v/>
      </c>
      <c r="F451" t="str">
        <f>IF(ISBLANK(INDEX('Milestone Tracker – MENA'!$F:$F,196)),"",INDEX('Milestone Tracker – MENA'!$F:$F,196))</f>
        <v/>
      </c>
      <c r="G451" t="e">
        <f>IF(ISBLANK(INDEX('Milestone Tracker – MENA'!#REF!,196)),"",INDEX('Milestone Tracker – MENA'!#REF!,196))</f>
        <v>#REF!</v>
      </c>
      <c r="H451" t="str">
        <f>IF(ISBLANK(INDEX('Milestone Tracker – MENA'!$G:$G,196)),"",INDEX('Milestone Tracker – MENA'!$G:$G,196))</f>
        <v/>
      </c>
      <c r="I451" t="str">
        <f>IF(ISBLANK(INDEX('Milestone Tracker – MENA'!$H:$H,196)),"",INDEX('Milestone Tracker – MENA'!$H:$H,196))</f>
        <v/>
      </c>
      <c r="J451" t="e">
        <f>IF(ISBLANK(INDEX('Milestone Tracker – MENA'!#REF!,196)),"",INDEX('Milestone Tracker – MENA'!#REF!,196))</f>
        <v>#REF!</v>
      </c>
      <c r="K451">
        <f t="shared" si="14"/>
        <v>0</v>
      </c>
      <c r="L451">
        <f t="shared" si="15"/>
        <v>0</v>
      </c>
    </row>
    <row r="452" spans="1:12" x14ac:dyDescent="0.35">
      <c r="A452">
        <v>197</v>
      </c>
      <c r="B452">
        <f>IF(ISBLANK(INDEX('Milestone Tracker – MENA'!$B:$B,197)),B451,INDEX('Milestone Tracker – MENA'!$B:$B,197))</f>
        <v>0</v>
      </c>
      <c r="C452">
        <f>IF(ISBLANK(INDEX('Milestone Tracker – MENA'!$C:$C,197)),C451,INDEX('Milestone Tracker – MENA'!$C:$C,197))</f>
        <v>0</v>
      </c>
      <c r="D452">
        <f>IF(ISBLANK(INDEX('Milestone Tracker – MENA'!$D:$D,197)),D451,INDEX('Milestone Tracker – MENA'!$D:$D,197))</f>
        <v>0</v>
      </c>
      <c r="E452" t="str">
        <f>IF(ISBLANK(INDEX('Milestone Tracker – MENA'!$E:$E,197)),"",INDEX('Milestone Tracker – MENA'!$E:$E,197))</f>
        <v/>
      </c>
      <c r="F452" t="str">
        <f>IF(ISBLANK(INDEX('Milestone Tracker – MENA'!$F:$F,197)),"",INDEX('Milestone Tracker – MENA'!$F:$F,197))</f>
        <v/>
      </c>
      <c r="G452" t="e">
        <f>IF(ISBLANK(INDEX('Milestone Tracker – MENA'!#REF!,197)),"",INDEX('Milestone Tracker – MENA'!#REF!,197))</f>
        <v>#REF!</v>
      </c>
      <c r="H452" t="str">
        <f>IF(ISBLANK(INDEX('Milestone Tracker – MENA'!$G:$G,197)),"",INDEX('Milestone Tracker – MENA'!$G:$G,197))</f>
        <v/>
      </c>
      <c r="I452" t="str">
        <f>IF(ISBLANK(INDEX('Milestone Tracker – MENA'!$H:$H,197)),"",INDEX('Milestone Tracker – MENA'!$H:$H,197))</f>
        <v/>
      </c>
      <c r="J452" t="e">
        <f>IF(ISBLANK(INDEX('Milestone Tracker – MENA'!#REF!,197)),"",INDEX('Milestone Tracker – MENA'!#REF!,197))</f>
        <v>#REF!</v>
      </c>
      <c r="K452">
        <f t="shared" si="14"/>
        <v>0</v>
      </c>
      <c r="L452">
        <f t="shared" si="15"/>
        <v>0</v>
      </c>
    </row>
    <row r="453" spans="1:12" x14ac:dyDescent="0.35">
      <c r="A453">
        <v>198</v>
      </c>
      <c r="B453">
        <f>IF(ISBLANK(INDEX('Milestone Tracker – MENA'!$B:$B,198)),B452,INDEX('Milestone Tracker – MENA'!$B:$B,198))</f>
        <v>0</v>
      </c>
      <c r="C453">
        <f>IF(ISBLANK(INDEX('Milestone Tracker – MENA'!$C:$C,198)),C452,INDEX('Milestone Tracker – MENA'!$C:$C,198))</f>
        <v>0</v>
      </c>
      <c r="D453">
        <f>IF(ISBLANK(INDEX('Milestone Tracker – MENA'!$D:$D,198)),D452,INDEX('Milestone Tracker – MENA'!$D:$D,198))</f>
        <v>0</v>
      </c>
      <c r="E453" t="str">
        <f>IF(ISBLANK(INDEX('Milestone Tracker – MENA'!$E:$E,198)),"",INDEX('Milestone Tracker – MENA'!$E:$E,198))</f>
        <v/>
      </c>
      <c r="F453" t="str">
        <f>IF(ISBLANK(INDEX('Milestone Tracker – MENA'!$F:$F,198)),"",INDEX('Milestone Tracker – MENA'!$F:$F,198))</f>
        <v/>
      </c>
      <c r="G453" t="e">
        <f>IF(ISBLANK(INDEX('Milestone Tracker – MENA'!#REF!,198)),"",INDEX('Milestone Tracker – MENA'!#REF!,198))</f>
        <v>#REF!</v>
      </c>
      <c r="H453" t="str">
        <f>IF(ISBLANK(INDEX('Milestone Tracker – MENA'!$G:$G,198)),"",INDEX('Milestone Tracker – MENA'!$G:$G,198))</f>
        <v/>
      </c>
      <c r="I453" t="str">
        <f>IF(ISBLANK(INDEX('Milestone Tracker – MENA'!$H:$H,198)),"",INDEX('Milestone Tracker – MENA'!$H:$H,198))</f>
        <v/>
      </c>
      <c r="J453" t="e">
        <f>IF(ISBLANK(INDEX('Milestone Tracker – MENA'!#REF!,198)),"",INDEX('Milestone Tracker – MENA'!#REF!,198))</f>
        <v>#REF!</v>
      </c>
      <c r="K453">
        <f t="shared" si="14"/>
        <v>0</v>
      </c>
      <c r="L453">
        <f t="shared" si="15"/>
        <v>0</v>
      </c>
    </row>
    <row r="454" spans="1:12" x14ac:dyDescent="0.35">
      <c r="A454">
        <v>199</v>
      </c>
      <c r="B454">
        <f>IF(ISBLANK(INDEX('Milestone Tracker – MENA'!$B:$B,199)),B453,INDEX('Milestone Tracker – MENA'!$B:$B,199))</f>
        <v>0</v>
      </c>
      <c r="C454">
        <f>IF(ISBLANK(INDEX('Milestone Tracker – MENA'!$C:$C,199)),C453,INDEX('Milestone Tracker – MENA'!$C:$C,199))</f>
        <v>0</v>
      </c>
      <c r="D454">
        <f>IF(ISBLANK(INDEX('Milestone Tracker – MENA'!$D:$D,199)),D453,INDEX('Milestone Tracker – MENA'!$D:$D,199))</f>
        <v>0</v>
      </c>
      <c r="E454" t="str">
        <f>IF(ISBLANK(INDEX('Milestone Tracker – MENA'!$E:$E,199)),"",INDEX('Milestone Tracker – MENA'!$E:$E,199))</f>
        <v/>
      </c>
      <c r="F454" t="str">
        <f>IF(ISBLANK(INDEX('Milestone Tracker – MENA'!$F:$F,199)),"",INDEX('Milestone Tracker – MENA'!$F:$F,199))</f>
        <v/>
      </c>
      <c r="G454" t="e">
        <f>IF(ISBLANK(INDEX('Milestone Tracker – MENA'!#REF!,199)),"",INDEX('Milestone Tracker – MENA'!#REF!,199))</f>
        <v>#REF!</v>
      </c>
      <c r="H454" t="str">
        <f>IF(ISBLANK(INDEX('Milestone Tracker – MENA'!$G:$G,199)),"",INDEX('Milestone Tracker – MENA'!$G:$G,199))</f>
        <v/>
      </c>
      <c r="I454" t="str">
        <f>IF(ISBLANK(INDEX('Milestone Tracker – MENA'!$H:$H,199)),"",INDEX('Milestone Tracker – MENA'!$H:$H,199))</f>
        <v/>
      </c>
      <c r="J454" t="e">
        <f>IF(ISBLANK(INDEX('Milestone Tracker – MENA'!#REF!,199)),"",INDEX('Milestone Tracker – MENA'!#REF!,199))</f>
        <v>#REF!</v>
      </c>
      <c r="K454">
        <f t="shared" si="14"/>
        <v>0</v>
      </c>
      <c r="L454">
        <f t="shared" si="15"/>
        <v>0</v>
      </c>
    </row>
    <row r="455" spans="1:12" x14ac:dyDescent="0.35">
      <c r="A455">
        <v>200</v>
      </c>
      <c r="B455">
        <f>IF(ISBLANK(INDEX('Milestone Tracker – MENA'!$B:$B,200)),B454,INDEX('Milestone Tracker – MENA'!$B:$B,200))</f>
        <v>0</v>
      </c>
      <c r="C455">
        <f>IF(ISBLANK(INDEX('Milestone Tracker – MENA'!$C:$C,200)),C454,INDEX('Milestone Tracker – MENA'!$C:$C,200))</f>
        <v>0</v>
      </c>
      <c r="D455">
        <f>IF(ISBLANK(INDEX('Milestone Tracker – MENA'!$D:$D,200)),D454,INDEX('Milestone Tracker – MENA'!$D:$D,200))</f>
        <v>0</v>
      </c>
      <c r="E455" t="str">
        <f>IF(ISBLANK(INDEX('Milestone Tracker – MENA'!$E:$E,200)),"",INDEX('Milestone Tracker – MENA'!$E:$E,200))</f>
        <v/>
      </c>
      <c r="F455" t="str">
        <f>IF(ISBLANK(INDEX('Milestone Tracker – MENA'!$F:$F,200)),"",INDEX('Milestone Tracker – MENA'!$F:$F,200))</f>
        <v/>
      </c>
      <c r="G455" t="e">
        <f>IF(ISBLANK(INDEX('Milestone Tracker – MENA'!#REF!,200)),"",INDEX('Milestone Tracker – MENA'!#REF!,200))</f>
        <v>#REF!</v>
      </c>
      <c r="H455" t="str">
        <f>IF(ISBLANK(INDEX('Milestone Tracker – MENA'!$G:$G,200)),"",INDEX('Milestone Tracker – MENA'!$G:$G,200))</f>
        <v/>
      </c>
      <c r="I455" t="str">
        <f>IF(ISBLANK(INDEX('Milestone Tracker – MENA'!$H:$H,200)),"",INDEX('Milestone Tracker – MENA'!$H:$H,200))</f>
        <v/>
      </c>
      <c r="J455" t="e">
        <f>IF(ISBLANK(INDEX('Milestone Tracker – MENA'!#REF!,200)),"",INDEX('Milestone Tracker – MENA'!#REF!,200))</f>
        <v>#REF!</v>
      </c>
      <c r="K455">
        <f t="shared" si="14"/>
        <v>0</v>
      </c>
      <c r="L455">
        <f t="shared" si="15"/>
        <v>0</v>
      </c>
    </row>
    <row r="456" spans="1:12" x14ac:dyDescent="0.35">
      <c r="A456">
        <v>201</v>
      </c>
      <c r="B456">
        <f>IF(ISBLANK(INDEX('Milestone Tracker – MENA'!$B:$B,201)),B455,INDEX('Milestone Tracker – MENA'!$B:$B,201))</f>
        <v>0</v>
      </c>
      <c r="C456">
        <f>IF(ISBLANK(INDEX('Milestone Tracker – MENA'!$C:$C,201)),C455,INDEX('Milestone Tracker – MENA'!$C:$C,201))</f>
        <v>0</v>
      </c>
      <c r="D456">
        <f>IF(ISBLANK(INDEX('Milestone Tracker – MENA'!$D:$D,201)),D455,INDEX('Milestone Tracker – MENA'!$D:$D,201))</f>
        <v>0</v>
      </c>
      <c r="E456" t="str">
        <f>IF(ISBLANK(INDEX('Milestone Tracker – MENA'!$E:$E,201)),"",INDEX('Milestone Tracker – MENA'!$E:$E,201))</f>
        <v/>
      </c>
      <c r="F456" t="str">
        <f>IF(ISBLANK(INDEX('Milestone Tracker – MENA'!$F:$F,201)),"",INDEX('Milestone Tracker – MENA'!$F:$F,201))</f>
        <v/>
      </c>
      <c r="G456" t="e">
        <f>IF(ISBLANK(INDEX('Milestone Tracker – MENA'!#REF!,201)),"",INDEX('Milestone Tracker – MENA'!#REF!,201))</f>
        <v>#REF!</v>
      </c>
      <c r="H456" t="str">
        <f>IF(ISBLANK(INDEX('Milestone Tracker – MENA'!$G:$G,201)),"",INDEX('Milestone Tracker – MENA'!$G:$G,201))</f>
        <v/>
      </c>
      <c r="I456" t="str">
        <f>IF(ISBLANK(INDEX('Milestone Tracker – MENA'!$H:$H,201)),"",INDEX('Milestone Tracker – MENA'!$H:$H,201))</f>
        <v/>
      </c>
      <c r="J456" t="e">
        <f>IF(ISBLANK(INDEX('Milestone Tracker – MENA'!#REF!,201)),"",INDEX('Milestone Tracker – MENA'!#REF!,201))</f>
        <v>#REF!</v>
      </c>
      <c r="K456">
        <f t="shared" si="14"/>
        <v>0</v>
      </c>
      <c r="L456">
        <f t="shared" si="15"/>
        <v>0</v>
      </c>
    </row>
    <row r="457" spans="1:12" x14ac:dyDescent="0.35">
      <c r="A457">
        <v>202</v>
      </c>
      <c r="B457">
        <f>IF(ISBLANK(INDEX('Milestone Tracker – MENA'!$B:$B,202)),B456,INDEX('Milestone Tracker – MENA'!$B:$B,202))</f>
        <v>0</v>
      </c>
      <c r="C457">
        <f>IF(ISBLANK(INDEX('Milestone Tracker – MENA'!$C:$C,202)),C456,INDEX('Milestone Tracker – MENA'!$C:$C,202))</f>
        <v>0</v>
      </c>
      <c r="D457">
        <f>IF(ISBLANK(INDEX('Milestone Tracker – MENA'!$D:$D,202)),D456,INDEX('Milestone Tracker – MENA'!$D:$D,202))</f>
        <v>0</v>
      </c>
      <c r="E457" t="str">
        <f>IF(ISBLANK(INDEX('Milestone Tracker – MENA'!$E:$E,202)),"",INDEX('Milestone Tracker – MENA'!$E:$E,202))</f>
        <v/>
      </c>
      <c r="F457" t="str">
        <f>IF(ISBLANK(INDEX('Milestone Tracker – MENA'!$F:$F,202)),"",INDEX('Milestone Tracker – MENA'!$F:$F,202))</f>
        <v/>
      </c>
      <c r="G457" t="e">
        <f>IF(ISBLANK(INDEX('Milestone Tracker – MENA'!#REF!,202)),"",INDEX('Milestone Tracker – MENA'!#REF!,202))</f>
        <v>#REF!</v>
      </c>
      <c r="H457" t="str">
        <f>IF(ISBLANK(INDEX('Milestone Tracker – MENA'!$G:$G,202)),"",INDEX('Milestone Tracker – MENA'!$G:$G,202))</f>
        <v/>
      </c>
      <c r="I457" t="str">
        <f>IF(ISBLANK(INDEX('Milestone Tracker – MENA'!$H:$H,202)),"",INDEX('Milestone Tracker – MENA'!$H:$H,202))</f>
        <v/>
      </c>
      <c r="J457" t="e">
        <f>IF(ISBLANK(INDEX('Milestone Tracker – MENA'!#REF!,202)),"",INDEX('Milestone Tracker – MENA'!#REF!,202))</f>
        <v>#REF!</v>
      </c>
      <c r="K457">
        <f t="shared" si="14"/>
        <v>0</v>
      </c>
      <c r="L457">
        <f t="shared" si="15"/>
        <v>0</v>
      </c>
    </row>
    <row r="458" spans="1:12" x14ac:dyDescent="0.35">
      <c r="A458">
        <v>203</v>
      </c>
      <c r="B458">
        <f>IF(ISBLANK(INDEX('Milestone Tracker – MENA'!$B:$B,203)),B457,INDEX('Milestone Tracker – MENA'!$B:$B,203))</f>
        <v>0</v>
      </c>
      <c r="C458">
        <f>IF(ISBLANK(INDEX('Milestone Tracker – MENA'!$C:$C,203)),C457,INDEX('Milestone Tracker – MENA'!$C:$C,203))</f>
        <v>0</v>
      </c>
      <c r="D458">
        <f>IF(ISBLANK(INDEX('Milestone Tracker – MENA'!$D:$D,203)),D457,INDEX('Milestone Tracker – MENA'!$D:$D,203))</f>
        <v>0</v>
      </c>
      <c r="E458" t="str">
        <f>IF(ISBLANK(INDEX('Milestone Tracker – MENA'!$E:$E,203)),"",INDEX('Milestone Tracker – MENA'!$E:$E,203))</f>
        <v/>
      </c>
      <c r="F458" t="str">
        <f>IF(ISBLANK(INDEX('Milestone Tracker – MENA'!$F:$F,203)),"",INDEX('Milestone Tracker – MENA'!$F:$F,203))</f>
        <v/>
      </c>
      <c r="G458" t="e">
        <f>IF(ISBLANK(INDEX('Milestone Tracker – MENA'!#REF!,203)),"",INDEX('Milestone Tracker – MENA'!#REF!,203))</f>
        <v>#REF!</v>
      </c>
      <c r="H458" t="str">
        <f>IF(ISBLANK(INDEX('Milestone Tracker – MENA'!$G:$G,203)),"",INDEX('Milestone Tracker – MENA'!$G:$G,203))</f>
        <v/>
      </c>
      <c r="I458" t="str">
        <f>IF(ISBLANK(INDEX('Milestone Tracker – MENA'!$H:$H,203)),"",INDEX('Milestone Tracker – MENA'!$H:$H,203))</f>
        <v/>
      </c>
      <c r="J458" t="e">
        <f>IF(ISBLANK(INDEX('Milestone Tracker – MENA'!#REF!,203)),"",INDEX('Milestone Tracker – MENA'!#REF!,203))</f>
        <v>#REF!</v>
      </c>
      <c r="K458">
        <f t="shared" si="14"/>
        <v>0</v>
      </c>
      <c r="L458">
        <f t="shared" si="15"/>
        <v>0</v>
      </c>
    </row>
    <row r="459" spans="1:12" x14ac:dyDescent="0.35">
      <c r="A459">
        <v>204</v>
      </c>
      <c r="B459">
        <f>IF(ISBLANK(INDEX('Milestone Tracker – MENA'!$B:$B,204)),B458,INDEX('Milestone Tracker – MENA'!$B:$B,204))</f>
        <v>0</v>
      </c>
      <c r="C459">
        <f>IF(ISBLANK(INDEX('Milestone Tracker – MENA'!$C:$C,204)),C458,INDEX('Milestone Tracker – MENA'!$C:$C,204))</f>
        <v>0</v>
      </c>
      <c r="D459">
        <f>IF(ISBLANK(INDEX('Milestone Tracker – MENA'!$D:$D,204)),D458,INDEX('Milestone Tracker – MENA'!$D:$D,204))</f>
        <v>0</v>
      </c>
      <c r="E459" t="str">
        <f>IF(ISBLANK(INDEX('Milestone Tracker – MENA'!$E:$E,204)),"",INDEX('Milestone Tracker – MENA'!$E:$E,204))</f>
        <v/>
      </c>
      <c r="F459" t="str">
        <f>IF(ISBLANK(INDEX('Milestone Tracker – MENA'!$F:$F,204)),"",INDEX('Milestone Tracker – MENA'!$F:$F,204))</f>
        <v/>
      </c>
      <c r="G459" t="e">
        <f>IF(ISBLANK(INDEX('Milestone Tracker – MENA'!#REF!,204)),"",INDEX('Milestone Tracker – MENA'!#REF!,204))</f>
        <v>#REF!</v>
      </c>
      <c r="H459" t="str">
        <f>IF(ISBLANK(INDEX('Milestone Tracker – MENA'!$G:$G,204)),"",INDEX('Milestone Tracker – MENA'!$G:$G,204))</f>
        <v/>
      </c>
      <c r="I459" t="str">
        <f>IF(ISBLANK(INDEX('Milestone Tracker – MENA'!$H:$H,204)),"",INDEX('Milestone Tracker – MENA'!$H:$H,204))</f>
        <v/>
      </c>
      <c r="J459" t="e">
        <f>IF(ISBLANK(INDEX('Milestone Tracker – MENA'!#REF!,204)),"",INDEX('Milestone Tracker – MENA'!#REF!,204))</f>
        <v>#REF!</v>
      </c>
      <c r="K459">
        <f t="shared" si="14"/>
        <v>0</v>
      </c>
      <c r="L459">
        <f t="shared" si="15"/>
        <v>0</v>
      </c>
    </row>
    <row r="460" spans="1:12" x14ac:dyDescent="0.35">
      <c r="A460">
        <v>205</v>
      </c>
      <c r="B460">
        <f>IF(ISBLANK(INDEX('Milestone Tracker – MENA'!$B:$B,205)),B459,INDEX('Milestone Tracker – MENA'!$B:$B,205))</f>
        <v>0</v>
      </c>
      <c r="C460">
        <f>IF(ISBLANK(INDEX('Milestone Tracker – MENA'!$C:$C,205)),C459,INDEX('Milestone Tracker – MENA'!$C:$C,205))</f>
        <v>0</v>
      </c>
      <c r="D460">
        <f>IF(ISBLANK(INDEX('Milestone Tracker – MENA'!$D:$D,205)),D459,INDEX('Milestone Tracker – MENA'!$D:$D,205))</f>
        <v>0</v>
      </c>
      <c r="E460" t="str">
        <f>IF(ISBLANK(INDEX('Milestone Tracker – MENA'!$E:$E,205)),"",INDEX('Milestone Tracker – MENA'!$E:$E,205))</f>
        <v/>
      </c>
      <c r="F460" t="str">
        <f>IF(ISBLANK(INDEX('Milestone Tracker – MENA'!$F:$F,205)),"",INDEX('Milestone Tracker – MENA'!$F:$F,205))</f>
        <v/>
      </c>
      <c r="G460" t="e">
        <f>IF(ISBLANK(INDEX('Milestone Tracker – MENA'!#REF!,205)),"",INDEX('Milestone Tracker – MENA'!#REF!,205))</f>
        <v>#REF!</v>
      </c>
      <c r="H460" t="str">
        <f>IF(ISBLANK(INDEX('Milestone Tracker – MENA'!$G:$G,205)),"",INDEX('Milestone Tracker – MENA'!$G:$G,205))</f>
        <v/>
      </c>
      <c r="I460" t="str">
        <f>IF(ISBLANK(INDEX('Milestone Tracker – MENA'!$H:$H,205)),"",INDEX('Milestone Tracker – MENA'!$H:$H,205))</f>
        <v/>
      </c>
      <c r="J460" t="e">
        <f>IF(ISBLANK(INDEX('Milestone Tracker – MENA'!#REF!,205)),"",INDEX('Milestone Tracker – MENA'!#REF!,205))</f>
        <v>#REF!</v>
      </c>
      <c r="K460">
        <f t="shared" si="14"/>
        <v>0</v>
      </c>
      <c r="L460">
        <f t="shared" si="15"/>
        <v>0</v>
      </c>
    </row>
    <row r="461" spans="1:12" x14ac:dyDescent="0.35">
      <c r="A461">
        <v>206</v>
      </c>
      <c r="B461">
        <f>IF(ISBLANK(INDEX('Milestone Tracker – MENA'!$B:$B,206)),B460,INDEX('Milestone Tracker – MENA'!$B:$B,206))</f>
        <v>0</v>
      </c>
      <c r="C461">
        <f>IF(ISBLANK(INDEX('Milestone Tracker – MENA'!$C:$C,206)),C460,INDEX('Milestone Tracker – MENA'!$C:$C,206))</f>
        <v>0</v>
      </c>
      <c r="D461">
        <f>IF(ISBLANK(INDEX('Milestone Tracker – MENA'!$D:$D,206)),D460,INDEX('Milestone Tracker – MENA'!$D:$D,206))</f>
        <v>0</v>
      </c>
      <c r="E461" t="str">
        <f>IF(ISBLANK(INDEX('Milestone Tracker – MENA'!$E:$E,206)),"",INDEX('Milestone Tracker – MENA'!$E:$E,206))</f>
        <v/>
      </c>
      <c r="F461" t="str">
        <f>IF(ISBLANK(INDEX('Milestone Tracker – MENA'!$F:$F,206)),"",INDEX('Milestone Tracker – MENA'!$F:$F,206))</f>
        <v/>
      </c>
      <c r="G461" t="e">
        <f>IF(ISBLANK(INDEX('Milestone Tracker – MENA'!#REF!,206)),"",INDEX('Milestone Tracker – MENA'!#REF!,206))</f>
        <v>#REF!</v>
      </c>
      <c r="H461" t="str">
        <f>IF(ISBLANK(INDEX('Milestone Tracker – MENA'!$G:$G,206)),"",INDEX('Milestone Tracker – MENA'!$G:$G,206))</f>
        <v/>
      </c>
      <c r="I461" t="str">
        <f>IF(ISBLANK(INDEX('Milestone Tracker – MENA'!$H:$H,206)),"",INDEX('Milestone Tracker – MENA'!$H:$H,206))</f>
        <v/>
      </c>
      <c r="J461" t="e">
        <f>IF(ISBLANK(INDEX('Milestone Tracker – MENA'!#REF!,206)),"",INDEX('Milestone Tracker – MENA'!#REF!,206))</f>
        <v>#REF!</v>
      </c>
      <c r="K461">
        <f t="shared" si="14"/>
        <v>0</v>
      </c>
      <c r="L461">
        <f t="shared" si="15"/>
        <v>0</v>
      </c>
    </row>
    <row r="462" spans="1:12" x14ac:dyDescent="0.35">
      <c r="A462">
        <v>207</v>
      </c>
      <c r="B462">
        <f>IF(ISBLANK(INDEX('Milestone Tracker – MENA'!$B:$B,207)),B461,INDEX('Milestone Tracker – MENA'!$B:$B,207))</f>
        <v>0</v>
      </c>
      <c r="C462">
        <f>IF(ISBLANK(INDEX('Milestone Tracker – MENA'!$C:$C,207)),C461,INDEX('Milestone Tracker – MENA'!$C:$C,207))</f>
        <v>0</v>
      </c>
      <c r="D462">
        <f>IF(ISBLANK(INDEX('Milestone Tracker – MENA'!$D:$D,207)),D461,INDEX('Milestone Tracker – MENA'!$D:$D,207))</f>
        <v>0</v>
      </c>
      <c r="E462" t="str">
        <f>IF(ISBLANK(INDEX('Milestone Tracker – MENA'!$E:$E,207)),"",INDEX('Milestone Tracker – MENA'!$E:$E,207))</f>
        <v/>
      </c>
      <c r="F462" t="str">
        <f>IF(ISBLANK(INDEX('Milestone Tracker – MENA'!$F:$F,207)),"",INDEX('Milestone Tracker – MENA'!$F:$F,207))</f>
        <v/>
      </c>
      <c r="G462" t="e">
        <f>IF(ISBLANK(INDEX('Milestone Tracker – MENA'!#REF!,207)),"",INDEX('Milestone Tracker – MENA'!#REF!,207))</f>
        <v>#REF!</v>
      </c>
      <c r="H462" t="str">
        <f>IF(ISBLANK(INDEX('Milestone Tracker – MENA'!$G:$G,207)),"",INDEX('Milestone Tracker – MENA'!$G:$G,207))</f>
        <v/>
      </c>
      <c r="I462" t="str">
        <f>IF(ISBLANK(INDEX('Milestone Tracker – MENA'!$H:$H,207)),"",INDEX('Milestone Tracker – MENA'!$H:$H,207))</f>
        <v/>
      </c>
      <c r="J462" t="e">
        <f>IF(ISBLANK(INDEX('Milestone Tracker – MENA'!#REF!,207)),"",INDEX('Milestone Tracker – MENA'!#REF!,207))</f>
        <v>#REF!</v>
      </c>
      <c r="K462">
        <f t="shared" si="14"/>
        <v>0</v>
      </c>
      <c r="L462">
        <f t="shared" si="15"/>
        <v>0</v>
      </c>
    </row>
    <row r="463" spans="1:12" x14ac:dyDescent="0.35">
      <c r="A463">
        <v>208</v>
      </c>
      <c r="B463">
        <f>IF(ISBLANK(INDEX('Milestone Tracker – MENA'!$B:$B,208)),B462,INDEX('Milestone Tracker – MENA'!$B:$B,208))</f>
        <v>0</v>
      </c>
      <c r="C463">
        <f>IF(ISBLANK(INDEX('Milestone Tracker – MENA'!$C:$C,208)),C462,INDEX('Milestone Tracker – MENA'!$C:$C,208))</f>
        <v>0</v>
      </c>
      <c r="D463">
        <f>IF(ISBLANK(INDEX('Milestone Tracker – MENA'!$D:$D,208)),D462,INDEX('Milestone Tracker – MENA'!$D:$D,208))</f>
        <v>0</v>
      </c>
      <c r="E463" t="str">
        <f>IF(ISBLANK(INDEX('Milestone Tracker – MENA'!$E:$E,208)),"",INDEX('Milestone Tracker – MENA'!$E:$E,208))</f>
        <v/>
      </c>
      <c r="F463" t="str">
        <f>IF(ISBLANK(INDEX('Milestone Tracker – MENA'!$F:$F,208)),"",INDEX('Milestone Tracker – MENA'!$F:$F,208))</f>
        <v/>
      </c>
      <c r="G463" t="e">
        <f>IF(ISBLANK(INDEX('Milestone Tracker – MENA'!#REF!,208)),"",INDEX('Milestone Tracker – MENA'!#REF!,208))</f>
        <v>#REF!</v>
      </c>
      <c r="H463" t="str">
        <f>IF(ISBLANK(INDEX('Milestone Tracker – MENA'!$G:$G,208)),"",INDEX('Milestone Tracker – MENA'!$G:$G,208))</f>
        <v/>
      </c>
      <c r="I463" t="str">
        <f>IF(ISBLANK(INDEX('Milestone Tracker – MENA'!$H:$H,208)),"",INDEX('Milestone Tracker – MENA'!$H:$H,208))</f>
        <v/>
      </c>
      <c r="J463" t="e">
        <f>IF(ISBLANK(INDEX('Milestone Tracker – MENA'!#REF!,208)),"",INDEX('Milestone Tracker – MENA'!#REF!,208))</f>
        <v>#REF!</v>
      </c>
      <c r="K463">
        <f t="shared" si="14"/>
        <v>0</v>
      </c>
      <c r="L463">
        <f t="shared" si="15"/>
        <v>0</v>
      </c>
    </row>
    <row r="464" spans="1:12" x14ac:dyDescent="0.35">
      <c r="A464">
        <v>209</v>
      </c>
      <c r="B464">
        <f>IF(ISBLANK(INDEX('Milestone Tracker – MENA'!$B:$B,209)),B463,INDEX('Milestone Tracker – MENA'!$B:$B,209))</f>
        <v>0</v>
      </c>
      <c r="C464">
        <f>IF(ISBLANK(INDEX('Milestone Tracker – MENA'!$C:$C,209)),C463,INDEX('Milestone Tracker – MENA'!$C:$C,209))</f>
        <v>0</v>
      </c>
      <c r="D464">
        <f>IF(ISBLANK(INDEX('Milestone Tracker – MENA'!$D:$D,209)),D463,INDEX('Milestone Tracker – MENA'!$D:$D,209))</f>
        <v>0</v>
      </c>
      <c r="E464" t="str">
        <f>IF(ISBLANK(INDEX('Milestone Tracker – MENA'!$E:$E,209)),"",INDEX('Milestone Tracker – MENA'!$E:$E,209))</f>
        <v/>
      </c>
      <c r="F464" t="str">
        <f>IF(ISBLANK(INDEX('Milestone Tracker – MENA'!$F:$F,209)),"",INDEX('Milestone Tracker – MENA'!$F:$F,209))</f>
        <v/>
      </c>
      <c r="G464" t="e">
        <f>IF(ISBLANK(INDEX('Milestone Tracker – MENA'!#REF!,209)),"",INDEX('Milestone Tracker – MENA'!#REF!,209))</f>
        <v>#REF!</v>
      </c>
      <c r="H464" t="str">
        <f>IF(ISBLANK(INDEX('Milestone Tracker – MENA'!$G:$G,209)),"",INDEX('Milestone Tracker – MENA'!$G:$G,209))</f>
        <v/>
      </c>
      <c r="I464" t="str">
        <f>IF(ISBLANK(INDEX('Milestone Tracker – MENA'!$H:$H,209)),"",INDEX('Milestone Tracker – MENA'!$H:$H,209))</f>
        <v/>
      </c>
      <c r="J464" t="e">
        <f>IF(ISBLANK(INDEX('Milestone Tracker – MENA'!#REF!,209)),"",INDEX('Milestone Tracker – MENA'!#REF!,209))</f>
        <v>#REF!</v>
      </c>
      <c r="K464">
        <f t="shared" si="14"/>
        <v>0</v>
      </c>
      <c r="L464">
        <f t="shared" si="15"/>
        <v>0</v>
      </c>
    </row>
    <row r="465" spans="1:12" x14ac:dyDescent="0.35">
      <c r="A465">
        <v>210</v>
      </c>
      <c r="B465">
        <f>IF(ISBLANK(INDEX('Milestone Tracker – MENA'!$B:$B,210)),B464,INDEX('Milestone Tracker – MENA'!$B:$B,210))</f>
        <v>0</v>
      </c>
      <c r="C465">
        <f>IF(ISBLANK(INDEX('Milestone Tracker – MENA'!$C:$C,210)),C464,INDEX('Milestone Tracker – MENA'!$C:$C,210))</f>
        <v>0</v>
      </c>
      <c r="D465">
        <f>IF(ISBLANK(INDEX('Milestone Tracker – MENA'!$D:$D,210)),D464,INDEX('Milestone Tracker – MENA'!$D:$D,210))</f>
        <v>0</v>
      </c>
      <c r="E465" t="str">
        <f>IF(ISBLANK(INDEX('Milestone Tracker – MENA'!$E:$E,210)),"",INDEX('Milestone Tracker – MENA'!$E:$E,210))</f>
        <v/>
      </c>
      <c r="F465" t="str">
        <f>IF(ISBLANK(INDEX('Milestone Tracker – MENA'!$F:$F,210)),"",INDEX('Milestone Tracker – MENA'!$F:$F,210))</f>
        <v/>
      </c>
      <c r="G465" t="e">
        <f>IF(ISBLANK(INDEX('Milestone Tracker – MENA'!#REF!,210)),"",INDEX('Milestone Tracker – MENA'!#REF!,210))</f>
        <v>#REF!</v>
      </c>
      <c r="H465" t="str">
        <f>IF(ISBLANK(INDEX('Milestone Tracker – MENA'!$G:$G,210)),"",INDEX('Milestone Tracker – MENA'!$G:$G,210))</f>
        <v/>
      </c>
      <c r="I465" t="str">
        <f>IF(ISBLANK(INDEX('Milestone Tracker – MENA'!$H:$H,210)),"",INDEX('Milestone Tracker – MENA'!$H:$H,210))</f>
        <v/>
      </c>
      <c r="J465" t="e">
        <f>IF(ISBLANK(INDEX('Milestone Tracker – MENA'!#REF!,210)),"",INDEX('Milestone Tracker – MENA'!#REF!,210))</f>
        <v>#REF!</v>
      </c>
      <c r="K465">
        <f t="shared" si="14"/>
        <v>0</v>
      </c>
      <c r="L465">
        <f t="shared" si="15"/>
        <v>0</v>
      </c>
    </row>
    <row r="466" spans="1:12" x14ac:dyDescent="0.35">
      <c r="A466">
        <v>211</v>
      </c>
      <c r="B466">
        <f>IF(ISBLANK(INDEX('Milestone Tracker – MENA'!$B:$B,211)),B465,INDEX('Milestone Tracker – MENA'!$B:$B,211))</f>
        <v>0</v>
      </c>
      <c r="C466">
        <f>IF(ISBLANK(INDEX('Milestone Tracker – MENA'!$C:$C,211)),C465,INDEX('Milestone Tracker – MENA'!$C:$C,211))</f>
        <v>0</v>
      </c>
      <c r="D466">
        <f>IF(ISBLANK(INDEX('Milestone Tracker – MENA'!$D:$D,211)),D465,INDEX('Milestone Tracker – MENA'!$D:$D,211))</f>
        <v>0</v>
      </c>
      <c r="E466" t="str">
        <f>IF(ISBLANK(INDEX('Milestone Tracker – MENA'!$E:$E,211)),"",INDEX('Milestone Tracker – MENA'!$E:$E,211))</f>
        <v/>
      </c>
      <c r="F466" t="str">
        <f>IF(ISBLANK(INDEX('Milestone Tracker – MENA'!$F:$F,211)),"",INDEX('Milestone Tracker – MENA'!$F:$F,211))</f>
        <v/>
      </c>
      <c r="G466" t="e">
        <f>IF(ISBLANK(INDEX('Milestone Tracker – MENA'!#REF!,211)),"",INDEX('Milestone Tracker – MENA'!#REF!,211))</f>
        <v>#REF!</v>
      </c>
      <c r="H466" t="str">
        <f>IF(ISBLANK(INDEX('Milestone Tracker – MENA'!$G:$G,211)),"",INDEX('Milestone Tracker – MENA'!$G:$G,211))</f>
        <v/>
      </c>
      <c r="I466" t="str">
        <f>IF(ISBLANK(INDEX('Milestone Tracker – MENA'!$H:$H,211)),"",INDEX('Milestone Tracker – MENA'!$H:$H,211))</f>
        <v/>
      </c>
      <c r="J466" t="e">
        <f>IF(ISBLANK(INDEX('Milestone Tracker – MENA'!#REF!,211)),"",INDEX('Milestone Tracker – MENA'!#REF!,211))</f>
        <v>#REF!</v>
      </c>
      <c r="K466">
        <f t="shared" si="14"/>
        <v>0</v>
      </c>
      <c r="L466">
        <f t="shared" si="15"/>
        <v>0</v>
      </c>
    </row>
    <row r="467" spans="1:12" x14ac:dyDescent="0.35">
      <c r="A467">
        <v>212</v>
      </c>
      <c r="B467">
        <f>IF(ISBLANK(INDEX('Milestone Tracker – MENA'!$B:$B,212)),B466,INDEX('Milestone Tracker – MENA'!$B:$B,212))</f>
        <v>0</v>
      </c>
      <c r="C467">
        <f>IF(ISBLANK(INDEX('Milestone Tracker – MENA'!$C:$C,212)),C466,INDEX('Milestone Tracker – MENA'!$C:$C,212))</f>
        <v>0</v>
      </c>
      <c r="D467">
        <f>IF(ISBLANK(INDEX('Milestone Tracker – MENA'!$D:$D,212)),D466,INDEX('Milestone Tracker – MENA'!$D:$D,212))</f>
        <v>0</v>
      </c>
      <c r="E467" t="str">
        <f>IF(ISBLANK(INDEX('Milestone Tracker – MENA'!$E:$E,212)),"",INDEX('Milestone Tracker – MENA'!$E:$E,212))</f>
        <v/>
      </c>
      <c r="F467" t="str">
        <f>IF(ISBLANK(INDEX('Milestone Tracker – MENA'!$F:$F,212)),"",INDEX('Milestone Tracker – MENA'!$F:$F,212))</f>
        <v/>
      </c>
      <c r="G467" t="e">
        <f>IF(ISBLANK(INDEX('Milestone Tracker – MENA'!#REF!,212)),"",INDEX('Milestone Tracker – MENA'!#REF!,212))</f>
        <v>#REF!</v>
      </c>
      <c r="H467" t="str">
        <f>IF(ISBLANK(INDEX('Milestone Tracker – MENA'!$G:$G,212)),"",INDEX('Milestone Tracker – MENA'!$G:$G,212))</f>
        <v/>
      </c>
      <c r="I467" t="str">
        <f>IF(ISBLANK(INDEX('Milestone Tracker – MENA'!$H:$H,212)),"",INDEX('Milestone Tracker – MENA'!$H:$H,212))</f>
        <v/>
      </c>
      <c r="J467" t="e">
        <f>IF(ISBLANK(INDEX('Milestone Tracker – MENA'!#REF!,212)),"",INDEX('Milestone Tracker – MENA'!#REF!,212))</f>
        <v>#REF!</v>
      </c>
      <c r="K467">
        <f t="shared" si="14"/>
        <v>0</v>
      </c>
      <c r="L467">
        <f t="shared" si="15"/>
        <v>0</v>
      </c>
    </row>
    <row r="468" spans="1:12" x14ac:dyDescent="0.35">
      <c r="A468">
        <v>213</v>
      </c>
      <c r="B468">
        <f>IF(ISBLANK(INDEX('Milestone Tracker – MENA'!$B:$B,213)),B467,INDEX('Milestone Tracker – MENA'!$B:$B,213))</f>
        <v>0</v>
      </c>
      <c r="C468">
        <f>IF(ISBLANK(INDEX('Milestone Tracker – MENA'!$C:$C,213)),C467,INDEX('Milestone Tracker – MENA'!$C:$C,213))</f>
        <v>0</v>
      </c>
      <c r="D468">
        <f>IF(ISBLANK(INDEX('Milestone Tracker – MENA'!$D:$D,213)),D467,INDEX('Milestone Tracker – MENA'!$D:$D,213))</f>
        <v>0</v>
      </c>
      <c r="E468" t="str">
        <f>IF(ISBLANK(INDEX('Milestone Tracker – MENA'!$E:$E,213)),"",INDEX('Milestone Tracker – MENA'!$E:$E,213))</f>
        <v/>
      </c>
      <c r="F468" t="str">
        <f>IF(ISBLANK(INDEX('Milestone Tracker – MENA'!$F:$F,213)),"",INDEX('Milestone Tracker – MENA'!$F:$F,213))</f>
        <v/>
      </c>
      <c r="G468" t="e">
        <f>IF(ISBLANK(INDEX('Milestone Tracker – MENA'!#REF!,213)),"",INDEX('Milestone Tracker – MENA'!#REF!,213))</f>
        <v>#REF!</v>
      </c>
      <c r="H468" t="str">
        <f>IF(ISBLANK(INDEX('Milestone Tracker – MENA'!$G:$G,213)),"",INDEX('Milestone Tracker – MENA'!$G:$G,213))</f>
        <v/>
      </c>
      <c r="I468" t="str">
        <f>IF(ISBLANK(INDEX('Milestone Tracker – MENA'!$H:$H,213)),"",INDEX('Milestone Tracker – MENA'!$H:$H,213))</f>
        <v/>
      </c>
      <c r="J468" t="e">
        <f>IF(ISBLANK(INDEX('Milestone Tracker – MENA'!#REF!,213)),"",INDEX('Milestone Tracker – MENA'!#REF!,213))</f>
        <v>#REF!</v>
      </c>
      <c r="K468">
        <f t="shared" si="14"/>
        <v>0</v>
      </c>
      <c r="L468">
        <f t="shared" si="15"/>
        <v>0</v>
      </c>
    </row>
    <row r="469" spans="1:12" x14ac:dyDescent="0.35">
      <c r="A469">
        <v>214</v>
      </c>
      <c r="B469">
        <f>IF(ISBLANK(INDEX('Milestone Tracker – MENA'!$B:$B,214)),B468,INDEX('Milestone Tracker – MENA'!$B:$B,214))</f>
        <v>0</v>
      </c>
      <c r="C469">
        <f>IF(ISBLANK(INDEX('Milestone Tracker – MENA'!$C:$C,214)),C468,INDEX('Milestone Tracker – MENA'!$C:$C,214))</f>
        <v>0</v>
      </c>
      <c r="D469">
        <f>IF(ISBLANK(INDEX('Milestone Tracker – MENA'!$D:$D,214)),D468,INDEX('Milestone Tracker – MENA'!$D:$D,214))</f>
        <v>0</v>
      </c>
      <c r="E469" t="str">
        <f>IF(ISBLANK(INDEX('Milestone Tracker – MENA'!$E:$E,214)),"",INDEX('Milestone Tracker – MENA'!$E:$E,214))</f>
        <v/>
      </c>
      <c r="F469" t="str">
        <f>IF(ISBLANK(INDEX('Milestone Tracker – MENA'!$F:$F,214)),"",INDEX('Milestone Tracker – MENA'!$F:$F,214))</f>
        <v/>
      </c>
      <c r="G469" t="e">
        <f>IF(ISBLANK(INDEX('Milestone Tracker – MENA'!#REF!,214)),"",INDEX('Milestone Tracker – MENA'!#REF!,214))</f>
        <v>#REF!</v>
      </c>
      <c r="H469" t="str">
        <f>IF(ISBLANK(INDEX('Milestone Tracker – MENA'!$G:$G,214)),"",INDEX('Milestone Tracker – MENA'!$G:$G,214))</f>
        <v/>
      </c>
      <c r="I469" t="str">
        <f>IF(ISBLANK(INDEX('Milestone Tracker – MENA'!$H:$H,214)),"",INDEX('Milestone Tracker – MENA'!$H:$H,214))</f>
        <v/>
      </c>
      <c r="J469" t="e">
        <f>IF(ISBLANK(INDEX('Milestone Tracker – MENA'!#REF!,214)),"",INDEX('Milestone Tracker – MENA'!#REF!,214))</f>
        <v>#REF!</v>
      </c>
      <c r="K469">
        <f t="shared" si="14"/>
        <v>0</v>
      </c>
      <c r="L469">
        <f t="shared" si="15"/>
        <v>0</v>
      </c>
    </row>
    <row r="470" spans="1:12" x14ac:dyDescent="0.35">
      <c r="A470">
        <v>215</v>
      </c>
      <c r="B470">
        <f>IF(ISBLANK(INDEX('Milestone Tracker – MENA'!$B:$B,215)),B469,INDEX('Milestone Tracker – MENA'!$B:$B,215))</f>
        <v>0</v>
      </c>
      <c r="C470">
        <f>IF(ISBLANK(INDEX('Milestone Tracker – MENA'!$C:$C,215)),C469,INDEX('Milestone Tracker – MENA'!$C:$C,215))</f>
        <v>0</v>
      </c>
      <c r="D470">
        <f>IF(ISBLANK(INDEX('Milestone Tracker – MENA'!$D:$D,215)),D469,INDEX('Milestone Tracker – MENA'!$D:$D,215))</f>
        <v>0</v>
      </c>
      <c r="E470" t="str">
        <f>IF(ISBLANK(INDEX('Milestone Tracker – MENA'!$E:$E,215)),"",INDEX('Milestone Tracker – MENA'!$E:$E,215))</f>
        <v/>
      </c>
      <c r="F470" t="str">
        <f>IF(ISBLANK(INDEX('Milestone Tracker – MENA'!$F:$F,215)),"",INDEX('Milestone Tracker – MENA'!$F:$F,215))</f>
        <v/>
      </c>
      <c r="G470" t="e">
        <f>IF(ISBLANK(INDEX('Milestone Tracker – MENA'!#REF!,215)),"",INDEX('Milestone Tracker – MENA'!#REF!,215))</f>
        <v>#REF!</v>
      </c>
      <c r="H470" t="str">
        <f>IF(ISBLANK(INDEX('Milestone Tracker – MENA'!$G:$G,215)),"",INDEX('Milestone Tracker – MENA'!$G:$G,215))</f>
        <v/>
      </c>
      <c r="I470" t="str">
        <f>IF(ISBLANK(INDEX('Milestone Tracker – MENA'!$H:$H,215)),"",INDEX('Milestone Tracker – MENA'!$H:$H,215))</f>
        <v/>
      </c>
      <c r="J470" t="e">
        <f>IF(ISBLANK(INDEX('Milestone Tracker – MENA'!#REF!,215)),"",INDEX('Milestone Tracker – MENA'!#REF!,215))</f>
        <v>#REF!</v>
      </c>
      <c r="K470">
        <f t="shared" si="14"/>
        <v>0</v>
      </c>
      <c r="L470">
        <f t="shared" si="15"/>
        <v>0</v>
      </c>
    </row>
    <row r="471" spans="1:12" x14ac:dyDescent="0.35">
      <c r="A471">
        <v>216</v>
      </c>
      <c r="B471">
        <f>IF(ISBLANK(INDEX('Milestone Tracker – MENA'!$B:$B,216)),B470,INDEX('Milestone Tracker – MENA'!$B:$B,216))</f>
        <v>0</v>
      </c>
      <c r="C471">
        <f>IF(ISBLANK(INDEX('Milestone Tracker – MENA'!$C:$C,216)),C470,INDEX('Milestone Tracker – MENA'!$C:$C,216))</f>
        <v>0</v>
      </c>
      <c r="D471">
        <f>IF(ISBLANK(INDEX('Milestone Tracker – MENA'!$D:$D,216)),D470,INDEX('Milestone Tracker – MENA'!$D:$D,216))</f>
        <v>0</v>
      </c>
      <c r="E471" t="str">
        <f>IF(ISBLANK(INDEX('Milestone Tracker – MENA'!$E:$E,216)),"",INDEX('Milestone Tracker – MENA'!$E:$E,216))</f>
        <v/>
      </c>
      <c r="F471" t="str">
        <f>IF(ISBLANK(INDEX('Milestone Tracker – MENA'!$F:$F,216)),"",INDEX('Milestone Tracker – MENA'!$F:$F,216))</f>
        <v/>
      </c>
      <c r="G471" t="e">
        <f>IF(ISBLANK(INDEX('Milestone Tracker – MENA'!#REF!,216)),"",INDEX('Milestone Tracker – MENA'!#REF!,216))</f>
        <v>#REF!</v>
      </c>
      <c r="H471" t="str">
        <f>IF(ISBLANK(INDEX('Milestone Tracker – MENA'!$G:$G,216)),"",INDEX('Milestone Tracker – MENA'!$G:$G,216))</f>
        <v/>
      </c>
      <c r="I471" t="str">
        <f>IF(ISBLANK(INDEX('Milestone Tracker – MENA'!$H:$H,216)),"",INDEX('Milestone Tracker – MENA'!$H:$H,216))</f>
        <v/>
      </c>
      <c r="J471" t="e">
        <f>IF(ISBLANK(INDEX('Milestone Tracker – MENA'!#REF!,216)),"",INDEX('Milestone Tracker – MENA'!#REF!,216))</f>
        <v>#REF!</v>
      </c>
      <c r="K471">
        <f t="shared" si="14"/>
        <v>0</v>
      </c>
      <c r="L471">
        <f t="shared" si="15"/>
        <v>0</v>
      </c>
    </row>
    <row r="472" spans="1:12" x14ac:dyDescent="0.35">
      <c r="A472">
        <v>217</v>
      </c>
      <c r="B472">
        <f>IF(ISBLANK(INDEX('Milestone Tracker – MENA'!$B:$B,217)),B471,INDEX('Milestone Tracker – MENA'!$B:$B,217))</f>
        <v>0</v>
      </c>
      <c r="C472">
        <f>IF(ISBLANK(INDEX('Milestone Tracker – MENA'!$C:$C,217)),C471,INDEX('Milestone Tracker – MENA'!$C:$C,217))</f>
        <v>0</v>
      </c>
      <c r="D472">
        <f>IF(ISBLANK(INDEX('Milestone Tracker – MENA'!$D:$D,217)),D471,INDEX('Milestone Tracker – MENA'!$D:$D,217))</f>
        <v>0</v>
      </c>
      <c r="E472" t="str">
        <f>IF(ISBLANK(INDEX('Milestone Tracker – MENA'!$E:$E,217)),"",INDEX('Milestone Tracker – MENA'!$E:$E,217))</f>
        <v/>
      </c>
      <c r="F472" t="str">
        <f>IF(ISBLANK(INDEX('Milestone Tracker – MENA'!$F:$F,217)),"",INDEX('Milestone Tracker – MENA'!$F:$F,217))</f>
        <v/>
      </c>
      <c r="G472" t="e">
        <f>IF(ISBLANK(INDEX('Milestone Tracker – MENA'!#REF!,217)),"",INDEX('Milestone Tracker – MENA'!#REF!,217))</f>
        <v>#REF!</v>
      </c>
      <c r="H472" t="str">
        <f>IF(ISBLANK(INDEX('Milestone Tracker – MENA'!$G:$G,217)),"",INDEX('Milestone Tracker – MENA'!$G:$G,217))</f>
        <v/>
      </c>
      <c r="I472" t="str">
        <f>IF(ISBLANK(INDEX('Milestone Tracker – MENA'!$H:$H,217)),"",INDEX('Milestone Tracker – MENA'!$H:$H,217))</f>
        <v/>
      </c>
      <c r="J472" t="e">
        <f>IF(ISBLANK(INDEX('Milestone Tracker – MENA'!#REF!,217)),"",INDEX('Milestone Tracker – MENA'!#REF!,217))</f>
        <v>#REF!</v>
      </c>
      <c r="K472">
        <f t="shared" si="14"/>
        <v>0</v>
      </c>
      <c r="L472">
        <f t="shared" si="15"/>
        <v>0</v>
      </c>
    </row>
    <row r="473" spans="1:12" x14ac:dyDescent="0.35">
      <c r="A473">
        <v>218</v>
      </c>
      <c r="B473">
        <f>IF(ISBLANK(INDEX('Milestone Tracker – MENA'!$B:$B,218)),B472,INDEX('Milestone Tracker – MENA'!$B:$B,218))</f>
        <v>0</v>
      </c>
      <c r="C473">
        <f>IF(ISBLANK(INDEX('Milestone Tracker – MENA'!$C:$C,218)),C472,INDEX('Milestone Tracker – MENA'!$C:$C,218))</f>
        <v>0</v>
      </c>
      <c r="D473">
        <f>IF(ISBLANK(INDEX('Milestone Tracker – MENA'!$D:$D,218)),D472,INDEX('Milestone Tracker – MENA'!$D:$D,218))</f>
        <v>0</v>
      </c>
      <c r="E473" t="str">
        <f>IF(ISBLANK(INDEX('Milestone Tracker – MENA'!$E:$E,218)),"",INDEX('Milestone Tracker – MENA'!$E:$E,218))</f>
        <v/>
      </c>
      <c r="F473" t="str">
        <f>IF(ISBLANK(INDEX('Milestone Tracker – MENA'!$F:$F,218)),"",INDEX('Milestone Tracker – MENA'!$F:$F,218))</f>
        <v/>
      </c>
      <c r="G473" t="e">
        <f>IF(ISBLANK(INDEX('Milestone Tracker – MENA'!#REF!,218)),"",INDEX('Milestone Tracker – MENA'!#REF!,218))</f>
        <v>#REF!</v>
      </c>
      <c r="H473" t="str">
        <f>IF(ISBLANK(INDEX('Milestone Tracker – MENA'!$G:$G,218)),"",INDEX('Milestone Tracker – MENA'!$G:$G,218))</f>
        <v/>
      </c>
      <c r="I473" t="str">
        <f>IF(ISBLANK(INDEX('Milestone Tracker – MENA'!$H:$H,218)),"",INDEX('Milestone Tracker – MENA'!$H:$H,218))</f>
        <v/>
      </c>
      <c r="J473" t="e">
        <f>IF(ISBLANK(INDEX('Milestone Tracker – MENA'!#REF!,218)),"",INDEX('Milestone Tracker – MENA'!#REF!,218))</f>
        <v>#REF!</v>
      </c>
      <c r="K473">
        <f t="shared" si="14"/>
        <v>0</v>
      </c>
      <c r="L473">
        <f t="shared" si="15"/>
        <v>0</v>
      </c>
    </row>
    <row r="474" spans="1:12" x14ac:dyDescent="0.35">
      <c r="A474">
        <v>219</v>
      </c>
      <c r="B474">
        <f>IF(ISBLANK(INDEX('Milestone Tracker – MENA'!$B:$B,219)),B473,INDEX('Milestone Tracker – MENA'!$B:$B,219))</f>
        <v>0</v>
      </c>
      <c r="C474">
        <f>IF(ISBLANK(INDEX('Milestone Tracker – MENA'!$C:$C,219)),C473,INDEX('Milestone Tracker – MENA'!$C:$C,219))</f>
        <v>0</v>
      </c>
      <c r="D474">
        <f>IF(ISBLANK(INDEX('Milestone Tracker – MENA'!$D:$D,219)),D473,INDEX('Milestone Tracker – MENA'!$D:$D,219))</f>
        <v>0</v>
      </c>
      <c r="E474" t="str">
        <f>IF(ISBLANK(INDEX('Milestone Tracker – MENA'!$E:$E,219)),"",INDEX('Milestone Tracker – MENA'!$E:$E,219))</f>
        <v/>
      </c>
      <c r="F474" t="str">
        <f>IF(ISBLANK(INDEX('Milestone Tracker – MENA'!$F:$F,219)),"",INDEX('Milestone Tracker – MENA'!$F:$F,219))</f>
        <v/>
      </c>
      <c r="G474" t="e">
        <f>IF(ISBLANK(INDEX('Milestone Tracker – MENA'!#REF!,219)),"",INDEX('Milestone Tracker – MENA'!#REF!,219))</f>
        <v>#REF!</v>
      </c>
      <c r="H474" t="str">
        <f>IF(ISBLANK(INDEX('Milestone Tracker – MENA'!$G:$G,219)),"",INDEX('Milestone Tracker – MENA'!$G:$G,219))</f>
        <v/>
      </c>
      <c r="I474" t="str">
        <f>IF(ISBLANK(INDEX('Milestone Tracker – MENA'!$H:$H,219)),"",INDEX('Milestone Tracker – MENA'!$H:$H,219))</f>
        <v/>
      </c>
      <c r="J474" t="e">
        <f>IF(ISBLANK(INDEX('Milestone Tracker – MENA'!#REF!,219)),"",INDEX('Milestone Tracker – MENA'!#REF!,219))</f>
        <v>#REF!</v>
      </c>
      <c r="K474">
        <f t="shared" si="14"/>
        <v>0</v>
      </c>
      <c r="L474">
        <f t="shared" si="15"/>
        <v>0</v>
      </c>
    </row>
    <row r="475" spans="1:12" x14ac:dyDescent="0.35">
      <c r="A475">
        <v>220</v>
      </c>
      <c r="B475">
        <f>IF(ISBLANK(INDEX('Milestone Tracker – MENA'!$B:$B,220)),B474,INDEX('Milestone Tracker – MENA'!$B:$B,220))</f>
        <v>0</v>
      </c>
      <c r="C475">
        <f>IF(ISBLANK(INDEX('Milestone Tracker – MENA'!$C:$C,220)),C474,INDEX('Milestone Tracker – MENA'!$C:$C,220))</f>
        <v>0</v>
      </c>
      <c r="D475">
        <f>IF(ISBLANK(INDEX('Milestone Tracker – MENA'!$D:$D,220)),D474,INDEX('Milestone Tracker – MENA'!$D:$D,220))</f>
        <v>0</v>
      </c>
      <c r="E475" t="str">
        <f>IF(ISBLANK(INDEX('Milestone Tracker – MENA'!$E:$E,220)),"",INDEX('Milestone Tracker – MENA'!$E:$E,220))</f>
        <v/>
      </c>
      <c r="F475" t="str">
        <f>IF(ISBLANK(INDEX('Milestone Tracker – MENA'!$F:$F,220)),"",INDEX('Milestone Tracker – MENA'!$F:$F,220))</f>
        <v/>
      </c>
      <c r="G475" t="e">
        <f>IF(ISBLANK(INDEX('Milestone Tracker – MENA'!#REF!,220)),"",INDEX('Milestone Tracker – MENA'!#REF!,220))</f>
        <v>#REF!</v>
      </c>
      <c r="H475" t="str">
        <f>IF(ISBLANK(INDEX('Milestone Tracker – MENA'!$G:$G,220)),"",INDEX('Milestone Tracker – MENA'!$G:$G,220))</f>
        <v/>
      </c>
      <c r="I475" t="str">
        <f>IF(ISBLANK(INDEX('Milestone Tracker – MENA'!$H:$H,220)),"",INDEX('Milestone Tracker – MENA'!$H:$H,220))</f>
        <v/>
      </c>
      <c r="J475" t="e">
        <f>IF(ISBLANK(INDEX('Milestone Tracker – MENA'!#REF!,220)),"",INDEX('Milestone Tracker – MENA'!#REF!,220))</f>
        <v>#REF!</v>
      </c>
      <c r="K475">
        <f t="shared" si="14"/>
        <v>0</v>
      </c>
      <c r="L475">
        <f t="shared" si="15"/>
        <v>0</v>
      </c>
    </row>
    <row r="476" spans="1:12" x14ac:dyDescent="0.35">
      <c r="A476">
        <v>221</v>
      </c>
      <c r="B476">
        <f>IF(ISBLANK(INDEX('Milestone Tracker – MENA'!$B:$B,221)),B475,INDEX('Milestone Tracker – MENA'!$B:$B,221))</f>
        <v>0</v>
      </c>
      <c r="C476">
        <f>IF(ISBLANK(INDEX('Milestone Tracker – MENA'!$C:$C,221)),C475,INDEX('Milestone Tracker – MENA'!$C:$C,221))</f>
        <v>0</v>
      </c>
      <c r="D476">
        <f>IF(ISBLANK(INDEX('Milestone Tracker – MENA'!$D:$D,221)),D475,INDEX('Milestone Tracker – MENA'!$D:$D,221))</f>
        <v>0</v>
      </c>
      <c r="E476" t="str">
        <f>IF(ISBLANK(INDEX('Milestone Tracker – MENA'!$E:$E,221)),"",INDEX('Milestone Tracker – MENA'!$E:$E,221))</f>
        <v/>
      </c>
      <c r="F476" t="str">
        <f>IF(ISBLANK(INDEX('Milestone Tracker – MENA'!$F:$F,221)),"",INDEX('Milestone Tracker – MENA'!$F:$F,221))</f>
        <v/>
      </c>
      <c r="G476" t="e">
        <f>IF(ISBLANK(INDEX('Milestone Tracker – MENA'!#REF!,221)),"",INDEX('Milestone Tracker – MENA'!#REF!,221))</f>
        <v>#REF!</v>
      </c>
      <c r="H476" t="str">
        <f>IF(ISBLANK(INDEX('Milestone Tracker – MENA'!$G:$G,221)),"",INDEX('Milestone Tracker – MENA'!$G:$G,221))</f>
        <v/>
      </c>
      <c r="I476" t="str">
        <f>IF(ISBLANK(INDEX('Milestone Tracker – MENA'!$H:$H,221)),"",INDEX('Milestone Tracker – MENA'!$H:$H,221))</f>
        <v/>
      </c>
      <c r="J476" t="e">
        <f>IF(ISBLANK(INDEX('Milestone Tracker – MENA'!#REF!,221)),"",INDEX('Milestone Tracker – MENA'!#REF!,221))</f>
        <v>#REF!</v>
      </c>
      <c r="K476">
        <f t="shared" si="14"/>
        <v>0</v>
      </c>
      <c r="L476">
        <f t="shared" si="15"/>
        <v>0</v>
      </c>
    </row>
    <row r="477" spans="1:12" x14ac:dyDescent="0.35">
      <c r="A477">
        <v>222</v>
      </c>
      <c r="B477">
        <f>IF(ISBLANK(INDEX('Milestone Tracker – MENA'!$B:$B,222)),B476,INDEX('Milestone Tracker – MENA'!$B:$B,222))</f>
        <v>0</v>
      </c>
      <c r="C477">
        <f>IF(ISBLANK(INDEX('Milestone Tracker – MENA'!$C:$C,222)),C476,INDEX('Milestone Tracker – MENA'!$C:$C,222))</f>
        <v>0</v>
      </c>
      <c r="D477">
        <f>IF(ISBLANK(INDEX('Milestone Tracker – MENA'!$D:$D,222)),D476,INDEX('Milestone Tracker – MENA'!$D:$D,222))</f>
        <v>0</v>
      </c>
      <c r="E477" t="str">
        <f>IF(ISBLANK(INDEX('Milestone Tracker – MENA'!$E:$E,222)),"",INDEX('Milestone Tracker – MENA'!$E:$E,222))</f>
        <v/>
      </c>
      <c r="F477" t="str">
        <f>IF(ISBLANK(INDEX('Milestone Tracker – MENA'!$F:$F,222)),"",INDEX('Milestone Tracker – MENA'!$F:$F,222))</f>
        <v/>
      </c>
      <c r="G477" t="e">
        <f>IF(ISBLANK(INDEX('Milestone Tracker – MENA'!#REF!,222)),"",INDEX('Milestone Tracker – MENA'!#REF!,222))</f>
        <v>#REF!</v>
      </c>
      <c r="H477" t="str">
        <f>IF(ISBLANK(INDEX('Milestone Tracker – MENA'!$G:$G,222)),"",INDEX('Milestone Tracker – MENA'!$G:$G,222))</f>
        <v/>
      </c>
      <c r="I477" t="str">
        <f>IF(ISBLANK(INDEX('Milestone Tracker – MENA'!$H:$H,222)),"",INDEX('Milestone Tracker – MENA'!$H:$H,222))</f>
        <v/>
      </c>
      <c r="J477" t="e">
        <f>IF(ISBLANK(INDEX('Milestone Tracker – MENA'!#REF!,222)),"",INDEX('Milestone Tracker – MENA'!#REF!,222))</f>
        <v>#REF!</v>
      </c>
      <c r="K477">
        <f t="shared" si="14"/>
        <v>0</v>
      </c>
      <c r="L477">
        <f t="shared" si="15"/>
        <v>0</v>
      </c>
    </row>
    <row r="478" spans="1:12" x14ac:dyDescent="0.35">
      <c r="A478">
        <v>223</v>
      </c>
      <c r="B478">
        <f>IF(ISBLANK(INDEX('Milestone Tracker – MENA'!$B:$B,223)),B477,INDEX('Milestone Tracker – MENA'!$B:$B,223))</f>
        <v>0</v>
      </c>
      <c r="C478">
        <f>IF(ISBLANK(INDEX('Milestone Tracker – MENA'!$C:$C,223)),C477,INDEX('Milestone Tracker – MENA'!$C:$C,223))</f>
        <v>0</v>
      </c>
      <c r="D478">
        <f>IF(ISBLANK(INDEX('Milestone Tracker – MENA'!$D:$D,223)),D477,INDEX('Milestone Tracker – MENA'!$D:$D,223))</f>
        <v>0</v>
      </c>
      <c r="E478" t="str">
        <f>IF(ISBLANK(INDEX('Milestone Tracker – MENA'!$E:$E,223)),"",INDEX('Milestone Tracker – MENA'!$E:$E,223))</f>
        <v/>
      </c>
      <c r="F478" t="str">
        <f>IF(ISBLANK(INDEX('Milestone Tracker – MENA'!$F:$F,223)),"",INDEX('Milestone Tracker – MENA'!$F:$F,223))</f>
        <v/>
      </c>
      <c r="G478" t="e">
        <f>IF(ISBLANK(INDEX('Milestone Tracker – MENA'!#REF!,223)),"",INDEX('Milestone Tracker – MENA'!#REF!,223))</f>
        <v>#REF!</v>
      </c>
      <c r="H478" t="str">
        <f>IF(ISBLANK(INDEX('Milestone Tracker – MENA'!$G:$G,223)),"",INDEX('Milestone Tracker – MENA'!$G:$G,223))</f>
        <v/>
      </c>
      <c r="I478" t="str">
        <f>IF(ISBLANK(INDEX('Milestone Tracker – MENA'!$H:$H,223)),"",INDEX('Milestone Tracker – MENA'!$H:$H,223))</f>
        <v/>
      </c>
      <c r="J478" t="e">
        <f>IF(ISBLANK(INDEX('Milestone Tracker – MENA'!#REF!,223)),"",INDEX('Milestone Tracker – MENA'!#REF!,223))</f>
        <v>#REF!</v>
      </c>
      <c r="K478">
        <f t="shared" si="14"/>
        <v>0</v>
      </c>
      <c r="L478">
        <f t="shared" si="15"/>
        <v>0</v>
      </c>
    </row>
    <row r="479" spans="1:12" x14ac:dyDescent="0.35">
      <c r="A479">
        <v>224</v>
      </c>
      <c r="B479">
        <f>IF(ISBLANK(INDEX('Milestone Tracker – MENA'!$B:$B,224)),B478,INDEX('Milestone Tracker – MENA'!$B:$B,224))</f>
        <v>0</v>
      </c>
      <c r="C479">
        <f>IF(ISBLANK(INDEX('Milestone Tracker – MENA'!$C:$C,224)),C478,INDEX('Milestone Tracker – MENA'!$C:$C,224))</f>
        <v>0</v>
      </c>
      <c r="D479">
        <f>IF(ISBLANK(INDEX('Milestone Tracker – MENA'!$D:$D,224)),D478,INDEX('Milestone Tracker – MENA'!$D:$D,224))</f>
        <v>0</v>
      </c>
      <c r="E479" t="str">
        <f>IF(ISBLANK(INDEX('Milestone Tracker – MENA'!$E:$E,224)),"",INDEX('Milestone Tracker – MENA'!$E:$E,224))</f>
        <v/>
      </c>
      <c r="F479" t="str">
        <f>IF(ISBLANK(INDEX('Milestone Tracker – MENA'!$F:$F,224)),"",INDEX('Milestone Tracker – MENA'!$F:$F,224))</f>
        <v/>
      </c>
      <c r="G479" t="e">
        <f>IF(ISBLANK(INDEX('Milestone Tracker – MENA'!#REF!,224)),"",INDEX('Milestone Tracker – MENA'!#REF!,224))</f>
        <v>#REF!</v>
      </c>
      <c r="H479" t="str">
        <f>IF(ISBLANK(INDEX('Milestone Tracker – MENA'!$G:$G,224)),"",INDEX('Milestone Tracker – MENA'!$G:$G,224))</f>
        <v/>
      </c>
      <c r="I479" t="str">
        <f>IF(ISBLANK(INDEX('Milestone Tracker – MENA'!$H:$H,224)),"",INDEX('Milestone Tracker – MENA'!$H:$H,224))</f>
        <v/>
      </c>
      <c r="J479" t="e">
        <f>IF(ISBLANK(INDEX('Milestone Tracker – MENA'!#REF!,224)),"",INDEX('Milestone Tracker – MENA'!#REF!,224))</f>
        <v>#REF!</v>
      </c>
      <c r="K479">
        <f t="shared" si="14"/>
        <v>0</v>
      </c>
      <c r="L479">
        <f t="shared" si="15"/>
        <v>0</v>
      </c>
    </row>
    <row r="480" spans="1:12" x14ac:dyDescent="0.35">
      <c r="A480">
        <v>225</v>
      </c>
      <c r="B480">
        <f>IF(ISBLANK(INDEX('Milestone Tracker – MENA'!$B:$B,225)),B479,INDEX('Milestone Tracker – MENA'!$B:$B,225))</f>
        <v>0</v>
      </c>
      <c r="C480">
        <f>IF(ISBLANK(INDEX('Milestone Tracker – MENA'!$C:$C,225)),C479,INDEX('Milestone Tracker – MENA'!$C:$C,225))</f>
        <v>0</v>
      </c>
      <c r="D480">
        <f>IF(ISBLANK(INDEX('Milestone Tracker – MENA'!$D:$D,225)),D479,INDEX('Milestone Tracker – MENA'!$D:$D,225))</f>
        <v>0</v>
      </c>
      <c r="E480" t="str">
        <f>IF(ISBLANK(INDEX('Milestone Tracker – MENA'!$E:$E,225)),"",INDEX('Milestone Tracker – MENA'!$E:$E,225))</f>
        <v/>
      </c>
      <c r="F480" t="str">
        <f>IF(ISBLANK(INDEX('Milestone Tracker – MENA'!$F:$F,225)),"",INDEX('Milestone Tracker – MENA'!$F:$F,225))</f>
        <v/>
      </c>
      <c r="G480" t="e">
        <f>IF(ISBLANK(INDEX('Milestone Tracker – MENA'!#REF!,225)),"",INDEX('Milestone Tracker – MENA'!#REF!,225))</f>
        <v>#REF!</v>
      </c>
      <c r="H480" t="str">
        <f>IF(ISBLANK(INDEX('Milestone Tracker – MENA'!$G:$G,225)),"",INDEX('Milestone Tracker – MENA'!$G:$G,225))</f>
        <v/>
      </c>
      <c r="I480" t="str">
        <f>IF(ISBLANK(INDEX('Milestone Tracker – MENA'!$H:$H,225)),"",INDEX('Milestone Tracker – MENA'!$H:$H,225))</f>
        <v/>
      </c>
      <c r="J480" t="e">
        <f>IF(ISBLANK(INDEX('Milestone Tracker – MENA'!#REF!,225)),"",INDEX('Milestone Tracker – MENA'!#REF!,225))</f>
        <v>#REF!</v>
      </c>
      <c r="K480">
        <f t="shared" si="14"/>
        <v>0</v>
      </c>
      <c r="L480">
        <f t="shared" si="15"/>
        <v>0</v>
      </c>
    </row>
    <row r="481" spans="1:12" x14ac:dyDescent="0.35">
      <c r="A481">
        <v>226</v>
      </c>
      <c r="B481">
        <f>IF(ISBLANK(INDEX('Milestone Tracker – MENA'!$B:$B,226)),B480,INDEX('Milestone Tracker – MENA'!$B:$B,226))</f>
        <v>0</v>
      </c>
      <c r="C481">
        <f>IF(ISBLANK(INDEX('Milestone Tracker – MENA'!$C:$C,226)),C480,INDEX('Milestone Tracker – MENA'!$C:$C,226))</f>
        <v>0</v>
      </c>
      <c r="D481">
        <f>IF(ISBLANK(INDEX('Milestone Tracker – MENA'!$D:$D,226)),D480,INDEX('Milestone Tracker – MENA'!$D:$D,226))</f>
        <v>0</v>
      </c>
      <c r="E481" t="str">
        <f>IF(ISBLANK(INDEX('Milestone Tracker – MENA'!$E:$E,226)),"",INDEX('Milestone Tracker – MENA'!$E:$E,226))</f>
        <v/>
      </c>
      <c r="F481" t="str">
        <f>IF(ISBLANK(INDEX('Milestone Tracker – MENA'!$F:$F,226)),"",INDEX('Milestone Tracker – MENA'!$F:$F,226))</f>
        <v/>
      </c>
      <c r="G481" t="e">
        <f>IF(ISBLANK(INDEX('Milestone Tracker – MENA'!#REF!,226)),"",INDEX('Milestone Tracker – MENA'!#REF!,226))</f>
        <v>#REF!</v>
      </c>
      <c r="H481" t="str">
        <f>IF(ISBLANK(INDEX('Milestone Tracker – MENA'!$G:$G,226)),"",INDEX('Milestone Tracker – MENA'!$G:$G,226))</f>
        <v/>
      </c>
      <c r="I481" t="str">
        <f>IF(ISBLANK(INDEX('Milestone Tracker – MENA'!$H:$H,226)),"",INDEX('Milestone Tracker – MENA'!$H:$H,226))</f>
        <v/>
      </c>
      <c r="J481" t="e">
        <f>IF(ISBLANK(INDEX('Milestone Tracker – MENA'!#REF!,226)),"",INDEX('Milestone Tracker – MENA'!#REF!,226))</f>
        <v>#REF!</v>
      </c>
      <c r="K481">
        <f t="shared" si="14"/>
        <v>0</v>
      </c>
      <c r="L481">
        <f t="shared" si="15"/>
        <v>0</v>
      </c>
    </row>
    <row r="482" spans="1:12" x14ac:dyDescent="0.35">
      <c r="A482">
        <v>227</v>
      </c>
      <c r="B482">
        <f>IF(ISBLANK(INDEX('Milestone Tracker – MENA'!$B:$B,227)),B481,INDEX('Milestone Tracker – MENA'!$B:$B,227))</f>
        <v>0</v>
      </c>
      <c r="C482">
        <f>IF(ISBLANK(INDEX('Milestone Tracker – MENA'!$C:$C,227)),C481,INDEX('Milestone Tracker – MENA'!$C:$C,227))</f>
        <v>0</v>
      </c>
      <c r="D482">
        <f>IF(ISBLANK(INDEX('Milestone Tracker – MENA'!$D:$D,227)),D481,INDEX('Milestone Tracker – MENA'!$D:$D,227))</f>
        <v>0</v>
      </c>
      <c r="E482" t="str">
        <f>IF(ISBLANK(INDEX('Milestone Tracker – MENA'!$E:$E,227)),"",INDEX('Milestone Tracker – MENA'!$E:$E,227))</f>
        <v/>
      </c>
      <c r="F482" t="str">
        <f>IF(ISBLANK(INDEX('Milestone Tracker – MENA'!$F:$F,227)),"",INDEX('Milestone Tracker – MENA'!$F:$F,227))</f>
        <v/>
      </c>
      <c r="G482" t="e">
        <f>IF(ISBLANK(INDEX('Milestone Tracker – MENA'!#REF!,227)),"",INDEX('Milestone Tracker – MENA'!#REF!,227))</f>
        <v>#REF!</v>
      </c>
      <c r="H482" t="str">
        <f>IF(ISBLANK(INDEX('Milestone Tracker – MENA'!$G:$G,227)),"",INDEX('Milestone Tracker – MENA'!$G:$G,227))</f>
        <v/>
      </c>
      <c r="I482" t="str">
        <f>IF(ISBLANK(INDEX('Milestone Tracker – MENA'!$H:$H,227)),"",INDEX('Milestone Tracker – MENA'!$H:$H,227))</f>
        <v/>
      </c>
      <c r="J482" t="e">
        <f>IF(ISBLANK(INDEX('Milestone Tracker – MENA'!#REF!,227)),"",INDEX('Milestone Tracker – MENA'!#REF!,227))</f>
        <v>#REF!</v>
      </c>
      <c r="K482">
        <f t="shared" si="14"/>
        <v>0</v>
      </c>
      <c r="L482">
        <f t="shared" si="15"/>
        <v>0</v>
      </c>
    </row>
    <row r="483" spans="1:12" x14ac:dyDescent="0.35">
      <c r="A483">
        <v>228</v>
      </c>
      <c r="B483">
        <f>IF(ISBLANK(INDEX('Milestone Tracker – MENA'!$B:$B,228)),B482,INDEX('Milestone Tracker – MENA'!$B:$B,228))</f>
        <v>0</v>
      </c>
      <c r="C483">
        <f>IF(ISBLANK(INDEX('Milestone Tracker – MENA'!$C:$C,228)),C482,INDEX('Milestone Tracker – MENA'!$C:$C,228))</f>
        <v>0</v>
      </c>
      <c r="D483">
        <f>IF(ISBLANK(INDEX('Milestone Tracker – MENA'!$D:$D,228)),D482,INDEX('Milestone Tracker – MENA'!$D:$D,228))</f>
        <v>0</v>
      </c>
      <c r="E483" t="str">
        <f>IF(ISBLANK(INDEX('Milestone Tracker – MENA'!$E:$E,228)),"",INDEX('Milestone Tracker – MENA'!$E:$E,228))</f>
        <v/>
      </c>
      <c r="F483" t="str">
        <f>IF(ISBLANK(INDEX('Milestone Tracker – MENA'!$F:$F,228)),"",INDEX('Milestone Tracker – MENA'!$F:$F,228))</f>
        <v/>
      </c>
      <c r="G483" t="e">
        <f>IF(ISBLANK(INDEX('Milestone Tracker – MENA'!#REF!,228)),"",INDEX('Milestone Tracker – MENA'!#REF!,228))</f>
        <v>#REF!</v>
      </c>
      <c r="H483" t="str">
        <f>IF(ISBLANK(INDEX('Milestone Tracker – MENA'!$G:$G,228)),"",INDEX('Milestone Tracker – MENA'!$G:$G,228))</f>
        <v/>
      </c>
      <c r="I483" t="str">
        <f>IF(ISBLANK(INDEX('Milestone Tracker – MENA'!$H:$H,228)),"",INDEX('Milestone Tracker – MENA'!$H:$H,228))</f>
        <v/>
      </c>
      <c r="J483" t="e">
        <f>IF(ISBLANK(INDEX('Milestone Tracker – MENA'!#REF!,228)),"",INDEX('Milestone Tracker – MENA'!#REF!,228))</f>
        <v>#REF!</v>
      </c>
      <c r="K483">
        <f t="shared" si="14"/>
        <v>0</v>
      </c>
      <c r="L483">
        <f t="shared" si="15"/>
        <v>0</v>
      </c>
    </row>
    <row r="484" spans="1:12" x14ac:dyDescent="0.35">
      <c r="A484">
        <v>229</v>
      </c>
      <c r="B484">
        <f>IF(ISBLANK(INDEX('Milestone Tracker – MENA'!$B:$B,229)),B483,INDEX('Milestone Tracker – MENA'!$B:$B,229))</f>
        <v>0</v>
      </c>
      <c r="C484">
        <f>IF(ISBLANK(INDEX('Milestone Tracker – MENA'!$C:$C,229)),C483,INDEX('Milestone Tracker – MENA'!$C:$C,229))</f>
        <v>0</v>
      </c>
      <c r="D484">
        <f>IF(ISBLANK(INDEX('Milestone Tracker – MENA'!$D:$D,229)),D483,INDEX('Milestone Tracker – MENA'!$D:$D,229))</f>
        <v>0</v>
      </c>
      <c r="E484" t="str">
        <f>IF(ISBLANK(INDEX('Milestone Tracker – MENA'!$E:$E,229)),"",INDEX('Milestone Tracker – MENA'!$E:$E,229))</f>
        <v/>
      </c>
      <c r="F484" t="str">
        <f>IF(ISBLANK(INDEX('Milestone Tracker – MENA'!$F:$F,229)),"",INDEX('Milestone Tracker – MENA'!$F:$F,229))</f>
        <v/>
      </c>
      <c r="G484" t="e">
        <f>IF(ISBLANK(INDEX('Milestone Tracker – MENA'!#REF!,229)),"",INDEX('Milestone Tracker – MENA'!#REF!,229))</f>
        <v>#REF!</v>
      </c>
      <c r="H484" t="str">
        <f>IF(ISBLANK(INDEX('Milestone Tracker – MENA'!$G:$G,229)),"",INDEX('Milestone Tracker – MENA'!$G:$G,229))</f>
        <v/>
      </c>
      <c r="I484" t="str">
        <f>IF(ISBLANK(INDEX('Milestone Tracker – MENA'!$H:$H,229)),"",INDEX('Milestone Tracker – MENA'!$H:$H,229))</f>
        <v/>
      </c>
      <c r="J484" t="e">
        <f>IF(ISBLANK(INDEX('Milestone Tracker – MENA'!#REF!,229)),"",INDEX('Milestone Tracker – MENA'!#REF!,229))</f>
        <v>#REF!</v>
      </c>
      <c r="K484">
        <f t="shared" si="14"/>
        <v>0</v>
      </c>
      <c r="L484">
        <f t="shared" si="15"/>
        <v>0</v>
      </c>
    </row>
    <row r="485" spans="1:12" x14ac:dyDescent="0.35">
      <c r="A485">
        <v>230</v>
      </c>
      <c r="B485">
        <f>IF(ISBLANK(INDEX('Milestone Tracker – MENA'!$B:$B,230)),B484,INDEX('Milestone Tracker – MENA'!$B:$B,230))</f>
        <v>0</v>
      </c>
      <c r="C485">
        <f>IF(ISBLANK(INDEX('Milestone Tracker – MENA'!$C:$C,230)),C484,INDEX('Milestone Tracker – MENA'!$C:$C,230))</f>
        <v>0</v>
      </c>
      <c r="D485">
        <f>IF(ISBLANK(INDEX('Milestone Tracker – MENA'!$D:$D,230)),D484,INDEX('Milestone Tracker – MENA'!$D:$D,230))</f>
        <v>0</v>
      </c>
      <c r="E485" t="str">
        <f>IF(ISBLANK(INDEX('Milestone Tracker – MENA'!$E:$E,230)),"",INDEX('Milestone Tracker – MENA'!$E:$E,230))</f>
        <v/>
      </c>
      <c r="F485" t="str">
        <f>IF(ISBLANK(INDEX('Milestone Tracker – MENA'!$F:$F,230)),"",INDEX('Milestone Tracker – MENA'!$F:$F,230))</f>
        <v/>
      </c>
      <c r="G485" t="e">
        <f>IF(ISBLANK(INDEX('Milestone Tracker – MENA'!#REF!,230)),"",INDEX('Milestone Tracker – MENA'!#REF!,230))</f>
        <v>#REF!</v>
      </c>
      <c r="H485" t="str">
        <f>IF(ISBLANK(INDEX('Milestone Tracker – MENA'!$G:$G,230)),"",INDEX('Milestone Tracker – MENA'!$G:$G,230))</f>
        <v/>
      </c>
      <c r="I485" t="str">
        <f>IF(ISBLANK(INDEX('Milestone Tracker – MENA'!$H:$H,230)),"",INDEX('Milestone Tracker – MENA'!$H:$H,230))</f>
        <v/>
      </c>
      <c r="J485" t="e">
        <f>IF(ISBLANK(INDEX('Milestone Tracker – MENA'!#REF!,230)),"",INDEX('Milestone Tracker – MENA'!#REF!,230))</f>
        <v>#REF!</v>
      </c>
      <c r="K485">
        <f t="shared" si="14"/>
        <v>0</v>
      </c>
      <c r="L485">
        <f t="shared" si="15"/>
        <v>0</v>
      </c>
    </row>
    <row r="486" spans="1:12" x14ac:dyDescent="0.35">
      <c r="A486">
        <v>231</v>
      </c>
      <c r="B486">
        <f>IF(ISBLANK(INDEX('Milestone Tracker – MENA'!$B:$B,231)),B485,INDEX('Milestone Tracker – MENA'!$B:$B,231))</f>
        <v>0</v>
      </c>
      <c r="C486">
        <f>IF(ISBLANK(INDEX('Milestone Tracker – MENA'!$C:$C,231)),C485,INDEX('Milestone Tracker – MENA'!$C:$C,231))</f>
        <v>0</v>
      </c>
      <c r="D486">
        <f>IF(ISBLANK(INDEX('Milestone Tracker – MENA'!$D:$D,231)),D485,INDEX('Milestone Tracker – MENA'!$D:$D,231))</f>
        <v>0</v>
      </c>
      <c r="E486" t="str">
        <f>IF(ISBLANK(INDEX('Milestone Tracker – MENA'!$E:$E,231)),"",INDEX('Milestone Tracker – MENA'!$E:$E,231))</f>
        <v/>
      </c>
      <c r="F486" t="str">
        <f>IF(ISBLANK(INDEX('Milestone Tracker – MENA'!$F:$F,231)),"",INDEX('Milestone Tracker – MENA'!$F:$F,231))</f>
        <v/>
      </c>
      <c r="G486" t="e">
        <f>IF(ISBLANK(INDEX('Milestone Tracker – MENA'!#REF!,231)),"",INDEX('Milestone Tracker – MENA'!#REF!,231))</f>
        <v>#REF!</v>
      </c>
      <c r="H486" t="str">
        <f>IF(ISBLANK(INDEX('Milestone Tracker – MENA'!$G:$G,231)),"",INDEX('Milestone Tracker – MENA'!$G:$G,231))</f>
        <v/>
      </c>
      <c r="I486" t="str">
        <f>IF(ISBLANK(INDEX('Milestone Tracker – MENA'!$H:$H,231)),"",INDEX('Milestone Tracker – MENA'!$H:$H,231))</f>
        <v/>
      </c>
      <c r="J486" t="e">
        <f>IF(ISBLANK(INDEX('Milestone Tracker – MENA'!#REF!,231)),"",INDEX('Milestone Tracker – MENA'!#REF!,231))</f>
        <v>#REF!</v>
      </c>
      <c r="K486">
        <f t="shared" si="14"/>
        <v>0</v>
      </c>
      <c r="L486">
        <f t="shared" si="15"/>
        <v>0</v>
      </c>
    </row>
    <row r="487" spans="1:12" x14ac:dyDescent="0.35">
      <c r="A487">
        <v>232</v>
      </c>
      <c r="B487">
        <f>IF(ISBLANK(INDEX('Milestone Tracker – MENA'!$B:$B,232)),B486,INDEX('Milestone Tracker – MENA'!$B:$B,232))</f>
        <v>0</v>
      </c>
      <c r="C487">
        <f>IF(ISBLANK(INDEX('Milestone Tracker – MENA'!$C:$C,232)),C486,INDEX('Milestone Tracker – MENA'!$C:$C,232))</f>
        <v>0</v>
      </c>
      <c r="D487">
        <f>IF(ISBLANK(INDEX('Milestone Tracker – MENA'!$D:$D,232)),D486,INDEX('Milestone Tracker – MENA'!$D:$D,232))</f>
        <v>0</v>
      </c>
      <c r="E487" t="str">
        <f>IF(ISBLANK(INDEX('Milestone Tracker – MENA'!$E:$E,232)),"",INDEX('Milestone Tracker – MENA'!$E:$E,232))</f>
        <v/>
      </c>
      <c r="F487" t="str">
        <f>IF(ISBLANK(INDEX('Milestone Tracker – MENA'!$F:$F,232)),"",INDEX('Milestone Tracker – MENA'!$F:$F,232))</f>
        <v/>
      </c>
      <c r="G487" t="e">
        <f>IF(ISBLANK(INDEX('Milestone Tracker – MENA'!#REF!,232)),"",INDEX('Milestone Tracker – MENA'!#REF!,232))</f>
        <v>#REF!</v>
      </c>
      <c r="H487" t="str">
        <f>IF(ISBLANK(INDEX('Milestone Tracker – MENA'!$G:$G,232)),"",INDEX('Milestone Tracker – MENA'!$G:$G,232))</f>
        <v/>
      </c>
      <c r="I487" t="str">
        <f>IF(ISBLANK(INDEX('Milestone Tracker – MENA'!$H:$H,232)),"",INDEX('Milestone Tracker – MENA'!$H:$H,232))</f>
        <v/>
      </c>
      <c r="J487" t="e">
        <f>IF(ISBLANK(INDEX('Milestone Tracker – MENA'!#REF!,232)),"",INDEX('Milestone Tracker – MENA'!#REF!,232))</f>
        <v>#REF!</v>
      </c>
      <c r="K487">
        <f t="shared" si="14"/>
        <v>0</v>
      </c>
      <c r="L487">
        <f t="shared" si="15"/>
        <v>0</v>
      </c>
    </row>
    <row r="488" spans="1:12" x14ac:dyDescent="0.35">
      <c r="A488">
        <v>233</v>
      </c>
      <c r="B488">
        <f>IF(ISBLANK(INDEX('Milestone Tracker – MENA'!$B:$B,233)),B487,INDEX('Milestone Tracker – MENA'!$B:$B,233))</f>
        <v>0</v>
      </c>
      <c r="C488">
        <f>IF(ISBLANK(INDEX('Milestone Tracker – MENA'!$C:$C,233)),C487,INDEX('Milestone Tracker – MENA'!$C:$C,233))</f>
        <v>0</v>
      </c>
      <c r="D488">
        <f>IF(ISBLANK(INDEX('Milestone Tracker – MENA'!$D:$D,233)),D487,INDEX('Milestone Tracker – MENA'!$D:$D,233))</f>
        <v>0</v>
      </c>
      <c r="E488" t="str">
        <f>IF(ISBLANK(INDEX('Milestone Tracker – MENA'!$E:$E,233)),"",INDEX('Milestone Tracker – MENA'!$E:$E,233))</f>
        <v/>
      </c>
      <c r="F488" t="str">
        <f>IF(ISBLANK(INDEX('Milestone Tracker – MENA'!$F:$F,233)),"",INDEX('Milestone Tracker – MENA'!$F:$F,233))</f>
        <v/>
      </c>
      <c r="G488" t="e">
        <f>IF(ISBLANK(INDEX('Milestone Tracker – MENA'!#REF!,233)),"",INDEX('Milestone Tracker – MENA'!#REF!,233))</f>
        <v>#REF!</v>
      </c>
      <c r="H488" t="str">
        <f>IF(ISBLANK(INDEX('Milestone Tracker – MENA'!$G:$G,233)),"",INDEX('Milestone Tracker – MENA'!$G:$G,233))</f>
        <v/>
      </c>
      <c r="I488" t="str">
        <f>IF(ISBLANK(INDEX('Milestone Tracker – MENA'!$H:$H,233)),"",INDEX('Milestone Tracker – MENA'!$H:$H,233))</f>
        <v/>
      </c>
      <c r="J488" t="e">
        <f>IF(ISBLANK(INDEX('Milestone Tracker – MENA'!#REF!,233)),"",INDEX('Milestone Tracker – MENA'!#REF!,233))</f>
        <v>#REF!</v>
      </c>
      <c r="K488">
        <f t="shared" si="14"/>
        <v>0</v>
      </c>
      <c r="L488">
        <f t="shared" si="15"/>
        <v>0</v>
      </c>
    </row>
    <row r="489" spans="1:12" x14ac:dyDescent="0.35">
      <c r="A489">
        <v>234</v>
      </c>
      <c r="B489">
        <f>IF(ISBLANK(INDEX('Milestone Tracker – MENA'!$B:$B,234)),B488,INDEX('Milestone Tracker – MENA'!$B:$B,234))</f>
        <v>0</v>
      </c>
      <c r="C489">
        <f>IF(ISBLANK(INDEX('Milestone Tracker – MENA'!$C:$C,234)),C488,INDEX('Milestone Tracker – MENA'!$C:$C,234))</f>
        <v>0</v>
      </c>
      <c r="D489">
        <f>IF(ISBLANK(INDEX('Milestone Tracker – MENA'!$D:$D,234)),D488,INDEX('Milestone Tracker – MENA'!$D:$D,234))</f>
        <v>0</v>
      </c>
      <c r="E489" t="str">
        <f>IF(ISBLANK(INDEX('Milestone Tracker – MENA'!$E:$E,234)),"",INDEX('Milestone Tracker – MENA'!$E:$E,234))</f>
        <v/>
      </c>
      <c r="F489" t="str">
        <f>IF(ISBLANK(INDEX('Milestone Tracker – MENA'!$F:$F,234)),"",INDEX('Milestone Tracker – MENA'!$F:$F,234))</f>
        <v/>
      </c>
      <c r="G489" t="e">
        <f>IF(ISBLANK(INDEX('Milestone Tracker – MENA'!#REF!,234)),"",INDEX('Milestone Tracker – MENA'!#REF!,234))</f>
        <v>#REF!</v>
      </c>
      <c r="H489" t="str">
        <f>IF(ISBLANK(INDEX('Milestone Tracker – MENA'!$G:$G,234)),"",INDEX('Milestone Tracker – MENA'!$G:$G,234))</f>
        <v/>
      </c>
      <c r="I489" t="str">
        <f>IF(ISBLANK(INDEX('Milestone Tracker – MENA'!$H:$H,234)),"",INDEX('Milestone Tracker – MENA'!$H:$H,234))</f>
        <v/>
      </c>
      <c r="J489" t="e">
        <f>IF(ISBLANK(INDEX('Milestone Tracker – MENA'!#REF!,234)),"",INDEX('Milestone Tracker – MENA'!#REF!,234))</f>
        <v>#REF!</v>
      </c>
      <c r="K489">
        <f t="shared" si="14"/>
        <v>0</v>
      </c>
      <c r="L489">
        <f t="shared" si="15"/>
        <v>0</v>
      </c>
    </row>
    <row r="490" spans="1:12" x14ac:dyDescent="0.35">
      <c r="A490">
        <v>235</v>
      </c>
      <c r="B490">
        <f>IF(ISBLANK(INDEX('Milestone Tracker – MENA'!$B:$B,235)),B489,INDEX('Milestone Tracker – MENA'!$B:$B,235))</f>
        <v>0</v>
      </c>
      <c r="C490">
        <f>IF(ISBLANK(INDEX('Milestone Tracker – MENA'!$C:$C,235)),C489,INDEX('Milestone Tracker – MENA'!$C:$C,235))</f>
        <v>0</v>
      </c>
      <c r="D490">
        <f>IF(ISBLANK(INDEX('Milestone Tracker – MENA'!$D:$D,235)),D489,INDEX('Milestone Tracker – MENA'!$D:$D,235))</f>
        <v>0</v>
      </c>
      <c r="E490" t="str">
        <f>IF(ISBLANK(INDEX('Milestone Tracker – MENA'!$E:$E,235)),"",INDEX('Milestone Tracker – MENA'!$E:$E,235))</f>
        <v/>
      </c>
      <c r="F490" t="str">
        <f>IF(ISBLANK(INDEX('Milestone Tracker – MENA'!$F:$F,235)),"",INDEX('Milestone Tracker – MENA'!$F:$F,235))</f>
        <v/>
      </c>
      <c r="G490" t="e">
        <f>IF(ISBLANK(INDEX('Milestone Tracker – MENA'!#REF!,235)),"",INDEX('Milestone Tracker – MENA'!#REF!,235))</f>
        <v>#REF!</v>
      </c>
      <c r="H490" t="str">
        <f>IF(ISBLANK(INDEX('Milestone Tracker – MENA'!$G:$G,235)),"",INDEX('Milestone Tracker – MENA'!$G:$G,235))</f>
        <v/>
      </c>
      <c r="I490" t="str">
        <f>IF(ISBLANK(INDEX('Milestone Tracker – MENA'!$H:$H,235)),"",INDEX('Milestone Tracker – MENA'!$H:$H,235))</f>
        <v/>
      </c>
      <c r="J490" t="e">
        <f>IF(ISBLANK(INDEX('Milestone Tracker – MENA'!#REF!,235)),"",INDEX('Milestone Tracker – MENA'!#REF!,235))</f>
        <v>#REF!</v>
      </c>
      <c r="K490">
        <f t="shared" si="14"/>
        <v>0</v>
      </c>
      <c r="L490">
        <f t="shared" si="15"/>
        <v>0</v>
      </c>
    </row>
    <row r="491" spans="1:12" x14ac:dyDescent="0.35">
      <c r="A491">
        <v>236</v>
      </c>
      <c r="B491">
        <f>IF(ISBLANK(INDEX('Milestone Tracker – MENA'!$B:$B,236)),B490,INDEX('Milestone Tracker – MENA'!$B:$B,236))</f>
        <v>0</v>
      </c>
      <c r="C491">
        <f>IF(ISBLANK(INDEX('Milestone Tracker – MENA'!$C:$C,236)),C490,INDEX('Milestone Tracker – MENA'!$C:$C,236))</f>
        <v>0</v>
      </c>
      <c r="D491">
        <f>IF(ISBLANK(INDEX('Milestone Tracker – MENA'!$D:$D,236)),D490,INDEX('Milestone Tracker – MENA'!$D:$D,236))</f>
        <v>0</v>
      </c>
      <c r="E491" t="str">
        <f>IF(ISBLANK(INDEX('Milestone Tracker – MENA'!$E:$E,236)),"",INDEX('Milestone Tracker – MENA'!$E:$E,236))</f>
        <v/>
      </c>
      <c r="F491" t="str">
        <f>IF(ISBLANK(INDEX('Milestone Tracker – MENA'!$F:$F,236)),"",INDEX('Milestone Tracker – MENA'!$F:$F,236))</f>
        <v/>
      </c>
      <c r="G491" t="e">
        <f>IF(ISBLANK(INDEX('Milestone Tracker – MENA'!#REF!,236)),"",INDEX('Milestone Tracker – MENA'!#REF!,236))</f>
        <v>#REF!</v>
      </c>
      <c r="H491" t="str">
        <f>IF(ISBLANK(INDEX('Milestone Tracker – MENA'!$G:$G,236)),"",INDEX('Milestone Tracker – MENA'!$G:$G,236))</f>
        <v/>
      </c>
      <c r="I491" t="str">
        <f>IF(ISBLANK(INDEX('Milestone Tracker – MENA'!$H:$H,236)),"",INDEX('Milestone Tracker – MENA'!$H:$H,236))</f>
        <v/>
      </c>
      <c r="J491" t="e">
        <f>IF(ISBLANK(INDEX('Milestone Tracker – MENA'!#REF!,236)),"",INDEX('Milestone Tracker – MENA'!#REF!,236))</f>
        <v>#REF!</v>
      </c>
      <c r="K491">
        <f t="shared" si="14"/>
        <v>0</v>
      </c>
      <c r="L491">
        <f t="shared" si="15"/>
        <v>0</v>
      </c>
    </row>
    <row r="492" spans="1:12" x14ac:dyDescent="0.35">
      <c r="A492">
        <v>237</v>
      </c>
      <c r="B492">
        <f>IF(ISBLANK(INDEX('Milestone Tracker – MENA'!$B:$B,237)),B491,INDEX('Milestone Tracker – MENA'!$B:$B,237))</f>
        <v>0</v>
      </c>
      <c r="C492">
        <f>IF(ISBLANK(INDEX('Milestone Tracker – MENA'!$C:$C,237)),C491,INDEX('Milestone Tracker – MENA'!$C:$C,237))</f>
        <v>0</v>
      </c>
      <c r="D492">
        <f>IF(ISBLANK(INDEX('Milestone Tracker – MENA'!$D:$D,237)),D491,INDEX('Milestone Tracker – MENA'!$D:$D,237))</f>
        <v>0</v>
      </c>
      <c r="E492" t="str">
        <f>IF(ISBLANK(INDEX('Milestone Tracker – MENA'!$E:$E,237)),"",INDEX('Milestone Tracker – MENA'!$E:$E,237))</f>
        <v/>
      </c>
      <c r="F492" t="str">
        <f>IF(ISBLANK(INDEX('Milestone Tracker – MENA'!$F:$F,237)),"",INDEX('Milestone Tracker – MENA'!$F:$F,237))</f>
        <v/>
      </c>
      <c r="G492" t="e">
        <f>IF(ISBLANK(INDEX('Milestone Tracker – MENA'!#REF!,237)),"",INDEX('Milestone Tracker – MENA'!#REF!,237))</f>
        <v>#REF!</v>
      </c>
      <c r="H492" t="str">
        <f>IF(ISBLANK(INDEX('Milestone Tracker – MENA'!$G:$G,237)),"",INDEX('Milestone Tracker – MENA'!$G:$G,237))</f>
        <v/>
      </c>
      <c r="I492" t="str">
        <f>IF(ISBLANK(INDEX('Milestone Tracker – MENA'!$H:$H,237)),"",INDEX('Milestone Tracker – MENA'!$H:$H,237))</f>
        <v/>
      </c>
      <c r="J492" t="e">
        <f>IF(ISBLANK(INDEX('Milestone Tracker – MENA'!#REF!,237)),"",INDEX('Milestone Tracker – MENA'!#REF!,237))</f>
        <v>#REF!</v>
      </c>
      <c r="K492">
        <f t="shared" si="14"/>
        <v>0</v>
      </c>
      <c r="L492">
        <f t="shared" si="15"/>
        <v>0</v>
      </c>
    </row>
    <row r="493" spans="1:12" x14ac:dyDescent="0.35">
      <c r="A493">
        <v>238</v>
      </c>
      <c r="B493">
        <f>IF(ISBLANK(INDEX('Milestone Tracker – MENA'!$B:$B,238)),B492,INDEX('Milestone Tracker – MENA'!$B:$B,238))</f>
        <v>0</v>
      </c>
      <c r="C493">
        <f>IF(ISBLANK(INDEX('Milestone Tracker – MENA'!$C:$C,238)),C492,INDEX('Milestone Tracker – MENA'!$C:$C,238))</f>
        <v>0</v>
      </c>
      <c r="D493">
        <f>IF(ISBLANK(INDEX('Milestone Tracker – MENA'!$D:$D,238)),D492,INDEX('Milestone Tracker – MENA'!$D:$D,238))</f>
        <v>0</v>
      </c>
      <c r="E493" t="str">
        <f>IF(ISBLANK(INDEX('Milestone Tracker – MENA'!$E:$E,238)),"",INDEX('Milestone Tracker – MENA'!$E:$E,238))</f>
        <v/>
      </c>
      <c r="F493" t="str">
        <f>IF(ISBLANK(INDEX('Milestone Tracker – MENA'!$F:$F,238)),"",INDEX('Milestone Tracker – MENA'!$F:$F,238))</f>
        <v/>
      </c>
      <c r="G493" t="e">
        <f>IF(ISBLANK(INDEX('Milestone Tracker – MENA'!#REF!,238)),"",INDEX('Milestone Tracker – MENA'!#REF!,238))</f>
        <v>#REF!</v>
      </c>
      <c r="H493" t="str">
        <f>IF(ISBLANK(INDEX('Milestone Tracker – MENA'!$G:$G,238)),"",INDEX('Milestone Tracker – MENA'!$G:$G,238))</f>
        <v/>
      </c>
      <c r="I493" t="str">
        <f>IF(ISBLANK(INDEX('Milestone Tracker – MENA'!$H:$H,238)),"",INDEX('Milestone Tracker – MENA'!$H:$H,238))</f>
        <v/>
      </c>
      <c r="J493" t="e">
        <f>IF(ISBLANK(INDEX('Milestone Tracker – MENA'!#REF!,238)),"",INDEX('Milestone Tracker – MENA'!#REF!,238))</f>
        <v>#REF!</v>
      </c>
      <c r="K493">
        <f t="shared" si="14"/>
        <v>0</v>
      </c>
      <c r="L493">
        <f t="shared" si="15"/>
        <v>0</v>
      </c>
    </row>
    <row r="494" spans="1:12" x14ac:dyDescent="0.35">
      <c r="A494">
        <v>239</v>
      </c>
      <c r="B494">
        <f>IF(ISBLANK(INDEX('Milestone Tracker – MENA'!$B:$B,239)),B493,INDEX('Milestone Tracker – MENA'!$B:$B,239))</f>
        <v>0</v>
      </c>
      <c r="C494">
        <f>IF(ISBLANK(INDEX('Milestone Tracker – MENA'!$C:$C,239)),C493,INDEX('Milestone Tracker – MENA'!$C:$C,239))</f>
        <v>0</v>
      </c>
      <c r="D494">
        <f>IF(ISBLANK(INDEX('Milestone Tracker – MENA'!$D:$D,239)),D493,INDEX('Milestone Tracker – MENA'!$D:$D,239))</f>
        <v>0</v>
      </c>
      <c r="E494" t="str">
        <f>IF(ISBLANK(INDEX('Milestone Tracker – MENA'!$E:$E,239)),"",INDEX('Milestone Tracker – MENA'!$E:$E,239))</f>
        <v/>
      </c>
      <c r="F494" t="str">
        <f>IF(ISBLANK(INDEX('Milestone Tracker – MENA'!$F:$F,239)),"",INDEX('Milestone Tracker – MENA'!$F:$F,239))</f>
        <v/>
      </c>
      <c r="G494" t="e">
        <f>IF(ISBLANK(INDEX('Milestone Tracker – MENA'!#REF!,239)),"",INDEX('Milestone Tracker – MENA'!#REF!,239))</f>
        <v>#REF!</v>
      </c>
      <c r="H494" t="str">
        <f>IF(ISBLANK(INDEX('Milestone Tracker – MENA'!$G:$G,239)),"",INDEX('Milestone Tracker – MENA'!$G:$G,239))</f>
        <v/>
      </c>
      <c r="I494" t="str">
        <f>IF(ISBLANK(INDEX('Milestone Tracker – MENA'!$H:$H,239)),"",INDEX('Milestone Tracker – MENA'!$H:$H,239))</f>
        <v/>
      </c>
      <c r="J494" t="e">
        <f>IF(ISBLANK(INDEX('Milestone Tracker – MENA'!#REF!,239)),"",INDEX('Milestone Tracker – MENA'!#REF!,239))</f>
        <v>#REF!</v>
      </c>
      <c r="K494">
        <f t="shared" si="14"/>
        <v>0</v>
      </c>
      <c r="L494">
        <f t="shared" si="15"/>
        <v>0</v>
      </c>
    </row>
    <row r="495" spans="1:12" x14ac:dyDescent="0.35">
      <c r="A495">
        <v>240</v>
      </c>
      <c r="B495">
        <f>IF(ISBLANK(INDEX('Milestone Tracker – MENA'!$B:$B,240)),B494,INDEX('Milestone Tracker – MENA'!$B:$B,240))</f>
        <v>0</v>
      </c>
      <c r="C495">
        <f>IF(ISBLANK(INDEX('Milestone Tracker – MENA'!$C:$C,240)),C494,INDEX('Milestone Tracker – MENA'!$C:$C,240))</f>
        <v>0</v>
      </c>
      <c r="D495">
        <f>IF(ISBLANK(INDEX('Milestone Tracker – MENA'!$D:$D,240)),D494,INDEX('Milestone Tracker – MENA'!$D:$D,240))</f>
        <v>0</v>
      </c>
      <c r="E495" t="str">
        <f>IF(ISBLANK(INDEX('Milestone Tracker – MENA'!$E:$E,240)),"",INDEX('Milestone Tracker – MENA'!$E:$E,240))</f>
        <v/>
      </c>
      <c r="F495" t="str">
        <f>IF(ISBLANK(INDEX('Milestone Tracker – MENA'!$F:$F,240)),"",INDEX('Milestone Tracker – MENA'!$F:$F,240))</f>
        <v/>
      </c>
      <c r="G495" t="e">
        <f>IF(ISBLANK(INDEX('Milestone Tracker – MENA'!#REF!,240)),"",INDEX('Milestone Tracker – MENA'!#REF!,240))</f>
        <v>#REF!</v>
      </c>
      <c r="H495" t="str">
        <f>IF(ISBLANK(INDEX('Milestone Tracker – MENA'!$G:$G,240)),"",INDEX('Milestone Tracker – MENA'!$G:$G,240))</f>
        <v/>
      </c>
      <c r="I495" t="str">
        <f>IF(ISBLANK(INDEX('Milestone Tracker – MENA'!$H:$H,240)),"",INDEX('Milestone Tracker – MENA'!$H:$H,240))</f>
        <v/>
      </c>
      <c r="J495" t="e">
        <f>IF(ISBLANK(INDEX('Milestone Tracker – MENA'!#REF!,240)),"",INDEX('Milestone Tracker – MENA'!#REF!,240))</f>
        <v>#REF!</v>
      </c>
      <c r="K495">
        <f t="shared" si="14"/>
        <v>0</v>
      </c>
      <c r="L495">
        <f t="shared" si="15"/>
        <v>0</v>
      </c>
    </row>
    <row r="496" spans="1:12" x14ac:dyDescent="0.35">
      <c r="A496">
        <v>241</v>
      </c>
      <c r="B496">
        <f>IF(ISBLANK(INDEX('Milestone Tracker – MENA'!$B:$B,241)),B495,INDEX('Milestone Tracker – MENA'!$B:$B,241))</f>
        <v>0</v>
      </c>
      <c r="C496">
        <f>IF(ISBLANK(INDEX('Milestone Tracker – MENA'!$C:$C,241)),C495,INDEX('Milestone Tracker – MENA'!$C:$C,241))</f>
        <v>0</v>
      </c>
      <c r="D496">
        <f>IF(ISBLANK(INDEX('Milestone Tracker – MENA'!$D:$D,241)),D495,INDEX('Milestone Tracker – MENA'!$D:$D,241))</f>
        <v>0</v>
      </c>
      <c r="E496" t="str">
        <f>IF(ISBLANK(INDEX('Milestone Tracker – MENA'!$E:$E,241)),"",INDEX('Milestone Tracker – MENA'!$E:$E,241))</f>
        <v/>
      </c>
      <c r="F496" t="str">
        <f>IF(ISBLANK(INDEX('Milestone Tracker – MENA'!$F:$F,241)),"",INDEX('Milestone Tracker – MENA'!$F:$F,241))</f>
        <v/>
      </c>
      <c r="G496" t="e">
        <f>IF(ISBLANK(INDEX('Milestone Tracker – MENA'!#REF!,241)),"",INDEX('Milestone Tracker – MENA'!#REF!,241))</f>
        <v>#REF!</v>
      </c>
      <c r="H496" t="str">
        <f>IF(ISBLANK(INDEX('Milestone Tracker – MENA'!$G:$G,241)),"",INDEX('Milestone Tracker – MENA'!$G:$G,241))</f>
        <v/>
      </c>
      <c r="I496" t="str">
        <f>IF(ISBLANK(INDEX('Milestone Tracker – MENA'!$H:$H,241)),"",INDEX('Milestone Tracker – MENA'!$H:$H,241))</f>
        <v/>
      </c>
      <c r="J496" t="e">
        <f>IF(ISBLANK(INDEX('Milestone Tracker – MENA'!#REF!,241)),"",INDEX('Milestone Tracker – MENA'!#REF!,241))</f>
        <v>#REF!</v>
      </c>
      <c r="K496">
        <f t="shared" si="14"/>
        <v>0</v>
      </c>
      <c r="L496">
        <f t="shared" si="15"/>
        <v>0</v>
      </c>
    </row>
    <row r="497" spans="1:12" x14ac:dyDescent="0.35">
      <c r="A497">
        <v>242</v>
      </c>
      <c r="B497">
        <f>IF(ISBLANK(INDEX('Milestone Tracker – MENA'!$B:$B,242)),B496,INDEX('Milestone Tracker – MENA'!$B:$B,242))</f>
        <v>0</v>
      </c>
      <c r="C497">
        <f>IF(ISBLANK(INDEX('Milestone Tracker – MENA'!$C:$C,242)),C496,INDEX('Milestone Tracker – MENA'!$C:$C,242))</f>
        <v>0</v>
      </c>
      <c r="D497">
        <f>IF(ISBLANK(INDEX('Milestone Tracker – MENA'!$D:$D,242)),D496,INDEX('Milestone Tracker – MENA'!$D:$D,242))</f>
        <v>0</v>
      </c>
      <c r="E497" t="str">
        <f>IF(ISBLANK(INDEX('Milestone Tracker – MENA'!$E:$E,242)),"",INDEX('Milestone Tracker – MENA'!$E:$E,242))</f>
        <v/>
      </c>
      <c r="F497" t="str">
        <f>IF(ISBLANK(INDEX('Milestone Tracker – MENA'!$F:$F,242)),"",INDEX('Milestone Tracker – MENA'!$F:$F,242))</f>
        <v/>
      </c>
      <c r="G497" t="e">
        <f>IF(ISBLANK(INDEX('Milestone Tracker – MENA'!#REF!,242)),"",INDEX('Milestone Tracker – MENA'!#REF!,242))</f>
        <v>#REF!</v>
      </c>
      <c r="H497" t="str">
        <f>IF(ISBLANK(INDEX('Milestone Tracker – MENA'!$G:$G,242)),"",INDEX('Milestone Tracker – MENA'!$G:$G,242))</f>
        <v/>
      </c>
      <c r="I497" t="str">
        <f>IF(ISBLANK(INDEX('Milestone Tracker – MENA'!$H:$H,242)),"",INDEX('Milestone Tracker – MENA'!$H:$H,242))</f>
        <v/>
      </c>
      <c r="J497" t="e">
        <f>IF(ISBLANK(INDEX('Milestone Tracker – MENA'!#REF!,242)),"",INDEX('Milestone Tracker – MENA'!#REF!,242))</f>
        <v>#REF!</v>
      </c>
      <c r="K497">
        <f t="shared" si="14"/>
        <v>0</v>
      </c>
      <c r="L497">
        <f t="shared" si="15"/>
        <v>0</v>
      </c>
    </row>
    <row r="498" spans="1:12" x14ac:dyDescent="0.35">
      <c r="A498">
        <v>243</v>
      </c>
      <c r="B498">
        <f>IF(ISBLANK(INDEX('Milestone Tracker – MENA'!$B:$B,243)),B497,INDEX('Milestone Tracker – MENA'!$B:$B,243))</f>
        <v>0</v>
      </c>
      <c r="C498">
        <f>IF(ISBLANK(INDEX('Milestone Tracker – MENA'!$C:$C,243)),C497,INDEX('Milestone Tracker – MENA'!$C:$C,243))</f>
        <v>0</v>
      </c>
      <c r="D498">
        <f>IF(ISBLANK(INDEX('Milestone Tracker – MENA'!$D:$D,243)),D497,INDEX('Milestone Tracker – MENA'!$D:$D,243))</f>
        <v>0</v>
      </c>
      <c r="E498" t="str">
        <f>IF(ISBLANK(INDEX('Milestone Tracker – MENA'!$E:$E,243)),"",INDEX('Milestone Tracker – MENA'!$E:$E,243))</f>
        <v/>
      </c>
      <c r="F498" t="str">
        <f>IF(ISBLANK(INDEX('Milestone Tracker – MENA'!$F:$F,243)),"",INDEX('Milestone Tracker – MENA'!$F:$F,243))</f>
        <v/>
      </c>
      <c r="G498" t="e">
        <f>IF(ISBLANK(INDEX('Milestone Tracker – MENA'!#REF!,243)),"",INDEX('Milestone Tracker – MENA'!#REF!,243))</f>
        <v>#REF!</v>
      </c>
      <c r="H498" t="str">
        <f>IF(ISBLANK(INDEX('Milestone Tracker – MENA'!$G:$G,243)),"",INDEX('Milestone Tracker – MENA'!$G:$G,243))</f>
        <v/>
      </c>
      <c r="I498" t="str">
        <f>IF(ISBLANK(INDEX('Milestone Tracker – MENA'!$H:$H,243)),"",INDEX('Milestone Tracker – MENA'!$H:$H,243))</f>
        <v/>
      </c>
      <c r="J498" t="e">
        <f>IF(ISBLANK(INDEX('Milestone Tracker – MENA'!#REF!,243)),"",INDEX('Milestone Tracker – MENA'!#REF!,243))</f>
        <v>#REF!</v>
      </c>
      <c r="K498">
        <f t="shared" si="14"/>
        <v>0</v>
      </c>
      <c r="L498">
        <f t="shared" si="15"/>
        <v>0</v>
      </c>
    </row>
    <row r="499" spans="1:12" x14ac:dyDescent="0.35">
      <c r="A499">
        <v>244</v>
      </c>
      <c r="B499">
        <f>IF(ISBLANK(INDEX('Milestone Tracker – MENA'!$B:$B,244)),B498,INDEX('Milestone Tracker – MENA'!$B:$B,244))</f>
        <v>0</v>
      </c>
      <c r="C499">
        <f>IF(ISBLANK(INDEX('Milestone Tracker – MENA'!$C:$C,244)),C498,INDEX('Milestone Tracker – MENA'!$C:$C,244))</f>
        <v>0</v>
      </c>
      <c r="D499">
        <f>IF(ISBLANK(INDEX('Milestone Tracker – MENA'!$D:$D,244)),D498,INDEX('Milestone Tracker – MENA'!$D:$D,244))</f>
        <v>0</v>
      </c>
      <c r="E499" t="str">
        <f>IF(ISBLANK(INDEX('Milestone Tracker – MENA'!$E:$E,244)),"",INDEX('Milestone Tracker – MENA'!$E:$E,244))</f>
        <v/>
      </c>
      <c r="F499" t="str">
        <f>IF(ISBLANK(INDEX('Milestone Tracker – MENA'!$F:$F,244)),"",INDEX('Milestone Tracker – MENA'!$F:$F,244))</f>
        <v/>
      </c>
      <c r="G499" t="e">
        <f>IF(ISBLANK(INDEX('Milestone Tracker – MENA'!#REF!,244)),"",INDEX('Milestone Tracker – MENA'!#REF!,244))</f>
        <v>#REF!</v>
      </c>
      <c r="H499" t="str">
        <f>IF(ISBLANK(INDEX('Milestone Tracker – MENA'!$G:$G,244)),"",INDEX('Milestone Tracker – MENA'!$G:$G,244))</f>
        <v/>
      </c>
      <c r="I499" t="str">
        <f>IF(ISBLANK(INDEX('Milestone Tracker – MENA'!$H:$H,244)),"",INDEX('Milestone Tracker – MENA'!$H:$H,244))</f>
        <v/>
      </c>
      <c r="J499" t="e">
        <f>IF(ISBLANK(INDEX('Milestone Tracker – MENA'!#REF!,244)),"",INDEX('Milestone Tracker – MENA'!#REF!,244))</f>
        <v>#REF!</v>
      </c>
      <c r="K499">
        <f t="shared" si="14"/>
        <v>0</v>
      </c>
      <c r="L499">
        <f t="shared" si="15"/>
        <v>0</v>
      </c>
    </row>
    <row r="500" spans="1:12" x14ac:dyDescent="0.35">
      <c r="A500">
        <v>245</v>
      </c>
      <c r="B500">
        <f>IF(ISBLANK(INDEX('Milestone Tracker – MENA'!$B:$B,245)),B499,INDEX('Milestone Tracker – MENA'!$B:$B,245))</f>
        <v>0</v>
      </c>
      <c r="C500">
        <f>IF(ISBLANK(INDEX('Milestone Tracker – MENA'!$C:$C,245)),C499,INDEX('Milestone Tracker – MENA'!$C:$C,245))</f>
        <v>0</v>
      </c>
      <c r="D500">
        <f>IF(ISBLANK(INDEX('Milestone Tracker – MENA'!$D:$D,245)),D499,INDEX('Milestone Tracker – MENA'!$D:$D,245))</f>
        <v>0</v>
      </c>
      <c r="E500" t="str">
        <f>IF(ISBLANK(INDEX('Milestone Tracker – MENA'!$E:$E,245)),"",INDEX('Milestone Tracker – MENA'!$E:$E,245))</f>
        <v/>
      </c>
      <c r="F500" t="str">
        <f>IF(ISBLANK(INDEX('Milestone Tracker – MENA'!$F:$F,245)),"",INDEX('Milestone Tracker – MENA'!$F:$F,245))</f>
        <v/>
      </c>
      <c r="G500" t="e">
        <f>IF(ISBLANK(INDEX('Milestone Tracker – MENA'!#REF!,245)),"",INDEX('Milestone Tracker – MENA'!#REF!,245))</f>
        <v>#REF!</v>
      </c>
      <c r="H500" t="str">
        <f>IF(ISBLANK(INDEX('Milestone Tracker – MENA'!$G:$G,245)),"",INDEX('Milestone Tracker – MENA'!$G:$G,245))</f>
        <v/>
      </c>
      <c r="I500" t="str">
        <f>IF(ISBLANK(INDEX('Milestone Tracker – MENA'!$H:$H,245)),"",INDEX('Milestone Tracker – MENA'!$H:$H,245))</f>
        <v/>
      </c>
      <c r="J500" t="e">
        <f>IF(ISBLANK(INDEX('Milestone Tracker – MENA'!#REF!,245)),"",INDEX('Milestone Tracker – MENA'!#REF!,245))</f>
        <v>#REF!</v>
      </c>
      <c r="K500">
        <f t="shared" si="14"/>
        <v>0</v>
      </c>
      <c r="L500">
        <f t="shared" si="15"/>
        <v>0</v>
      </c>
    </row>
    <row r="501" spans="1:12" x14ac:dyDescent="0.35">
      <c r="A501">
        <v>246</v>
      </c>
      <c r="B501">
        <f>IF(ISBLANK(INDEX('Milestone Tracker – MENA'!$B:$B,246)),B500,INDEX('Milestone Tracker – MENA'!$B:$B,246))</f>
        <v>0</v>
      </c>
      <c r="C501">
        <f>IF(ISBLANK(INDEX('Milestone Tracker – MENA'!$C:$C,246)),C500,INDEX('Milestone Tracker – MENA'!$C:$C,246))</f>
        <v>0</v>
      </c>
      <c r="D501">
        <f>IF(ISBLANK(INDEX('Milestone Tracker – MENA'!$D:$D,246)),D500,INDEX('Milestone Tracker – MENA'!$D:$D,246))</f>
        <v>0</v>
      </c>
      <c r="E501" t="str">
        <f>IF(ISBLANK(INDEX('Milestone Tracker – MENA'!$E:$E,246)),"",INDEX('Milestone Tracker – MENA'!$E:$E,246))</f>
        <v/>
      </c>
      <c r="F501" t="str">
        <f>IF(ISBLANK(INDEX('Milestone Tracker – MENA'!$F:$F,246)),"",INDEX('Milestone Tracker – MENA'!$F:$F,246))</f>
        <v/>
      </c>
      <c r="G501" t="e">
        <f>IF(ISBLANK(INDEX('Milestone Tracker – MENA'!#REF!,246)),"",INDEX('Milestone Tracker – MENA'!#REF!,246))</f>
        <v>#REF!</v>
      </c>
      <c r="H501" t="str">
        <f>IF(ISBLANK(INDEX('Milestone Tracker – MENA'!$G:$G,246)),"",INDEX('Milestone Tracker – MENA'!$G:$G,246))</f>
        <v/>
      </c>
      <c r="I501" t="str">
        <f>IF(ISBLANK(INDEX('Milestone Tracker – MENA'!$H:$H,246)),"",INDEX('Milestone Tracker – MENA'!$H:$H,246))</f>
        <v/>
      </c>
      <c r="J501" t="e">
        <f>IF(ISBLANK(INDEX('Milestone Tracker – MENA'!#REF!,246)),"",INDEX('Milestone Tracker – MENA'!#REF!,246))</f>
        <v>#REF!</v>
      </c>
      <c r="K501">
        <f t="shared" si="14"/>
        <v>0</v>
      </c>
      <c r="L501">
        <f t="shared" si="15"/>
        <v>0</v>
      </c>
    </row>
    <row r="502" spans="1:12" x14ac:dyDescent="0.35">
      <c r="A502">
        <v>247</v>
      </c>
      <c r="B502">
        <f>IF(ISBLANK(INDEX('Milestone Tracker – MENA'!$B:$B,247)),B501,INDEX('Milestone Tracker – MENA'!$B:$B,247))</f>
        <v>0</v>
      </c>
      <c r="C502">
        <f>IF(ISBLANK(INDEX('Milestone Tracker – MENA'!$C:$C,247)),C501,INDEX('Milestone Tracker – MENA'!$C:$C,247))</f>
        <v>0</v>
      </c>
      <c r="D502">
        <f>IF(ISBLANK(INDEX('Milestone Tracker – MENA'!$D:$D,247)),D501,INDEX('Milestone Tracker – MENA'!$D:$D,247))</f>
        <v>0</v>
      </c>
      <c r="E502" t="str">
        <f>IF(ISBLANK(INDEX('Milestone Tracker – MENA'!$E:$E,247)),"",INDEX('Milestone Tracker – MENA'!$E:$E,247))</f>
        <v/>
      </c>
      <c r="F502" t="str">
        <f>IF(ISBLANK(INDEX('Milestone Tracker – MENA'!$F:$F,247)),"",INDEX('Milestone Tracker – MENA'!$F:$F,247))</f>
        <v/>
      </c>
      <c r="G502" t="e">
        <f>IF(ISBLANK(INDEX('Milestone Tracker – MENA'!#REF!,247)),"",INDEX('Milestone Tracker – MENA'!#REF!,247))</f>
        <v>#REF!</v>
      </c>
      <c r="H502" t="str">
        <f>IF(ISBLANK(INDEX('Milestone Tracker – MENA'!$G:$G,247)),"",INDEX('Milestone Tracker – MENA'!$G:$G,247))</f>
        <v/>
      </c>
      <c r="I502" t="str">
        <f>IF(ISBLANK(INDEX('Milestone Tracker – MENA'!$H:$H,247)),"",INDEX('Milestone Tracker – MENA'!$H:$H,247))</f>
        <v/>
      </c>
      <c r="J502" t="e">
        <f>IF(ISBLANK(INDEX('Milestone Tracker – MENA'!#REF!,247)),"",INDEX('Milestone Tracker – MENA'!#REF!,247))</f>
        <v>#REF!</v>
      </c>
      <c r="K502">
        <f t="shared" si="14"/>
        <v>0</v>
      </c>
      <c r="L502">
        <f t="shared" si="15"/>
        <v>0</v>
      </c>
    </row>
    <row r="503" spans="1:12" x14ac:dyDescent="0.35">
      <c r="A503">
        <v>248</v>
      </c>
      <c r="B503">
        <f>IF(ISBLANK(INDEX('Milestone Tracker – MENA'!$B:$B,248)),B502,INDEX('Milestone Tracker – MENA'!$B:$B,248))</f>
        <v>0</v>
      </c>
      <c r="C503">
        <f>IF(ISBLANK(INDEX('Milestone Tracker – MENA'!$C:$C,248)),C502,INDEX('Milestone Tracker – MENA'!$C:$C,248))</f>
        <v>0</v>
      </c>
      <c r="D503">
        <f>IF(ISBLANK(INDEX('Milestone Tracker – MENA'!$D:$D,248)),D502,INDEX('Milestone Tracker – MENA'!$D:$D,248))</f>
        <v>0</v>
      </c>
      <c r="E503" t="str">
        <f>IF(ISBLANK(INDEX('Milestone Tracker – MENA'!$E:$E,248)),"",INDEX('Milestone Tracker – MENA'!$E:$E,248))</f>
        <v/>
      </c>
      <c r="F503" t="str">
        <f>IF(ISBLANK(INDEX('Milestone Tracker – MENA'!$F:$F,248)),"",INDEX('Milestone Tracker – MENA'!$F:$F,248))</f>
        <v/>
      </c>
      <c r="G503" t="e">
        <f>IF(ISBLANK(INDEX('Milestone Tracker – MENA'!#REF!,248)),"",INDEX('Milestone Tracker – MENA'!#REF!,248))</f>
        <v>#REF!</v>
      </c>
      <c r="H503" t="str">
        <f>IF(ISBLANK(INDEX('Milestone Tracker – MENA'!$G:$G,248)),"",INDEX('Milestone Tracker – MENA'!$G:$G,248))</f>
        <v/>
      </c>
      <c r="I503" t="str">
        <f>IF(ISBLANK(INDEX('Milestone Tracker – MENA'!$H:$H,248)),"",INDEX('Milestone Tracker – MENA'!$H:$H,248))</f>
        <v/>
      </c>
      <c r="J503" t="e">
        <f>IF(ISBLANK(INDEX('Milestone Tracker – MENA'!#REF!,248)),"",INDEX('Milestone Tracker – MENA'!#REF!,248))</f>
        <v>#REF!</v>
      </c>
      <c r="K503">
        <f t="shared" si="14"/>
        <v>0</v>
      </c>
      <c r="L503">
        <f t="shared" si="15"/>
        <v>0</v>
      </c>
    </row>
    <row r="504" spans="1:12" x14ac:dyDescent="0.35">
      <c r="A504">
        <v>249</v>
      </c>
      <c r="B504">
        <f>IF(ISBLANK(INDEX('Milestone Tracker – MENA'!$B:$B,249)),B503,INDEX('Milestone Tracker – MENA'!$B:$B,249))</f>
        <v>0</v>
      </c>
      <c r="C504">
        <f>IF(ISBLANK(INDEX('Milestone Tracker – MENA'!$C:$C,249)),C503,INDEX('Milestone Tracker – MENA'!$C:$C,249))</f>
        <v>0</v>
      </c>
      <c r="D504">
        <f>IF(ISBLANK(INDEX('Milestone Tracker – MENA'!$D:$D,249)),D503,INDEX('Milestone Tracker – MENA'!$D:$D,249))</f>
        <v>0</v>
      </c>
      <c r="E504" t="str">
        <f>IF(ISBLANK(INDEX('Milestone Tracker – MENA'!$E:$E,249)),"",INDEX('Milestone Tracker – MENA'!$E:$E,249))</f>
        <v/>
      </c>
      <c r="F504" t="str">
        <f>IF(ISBLANK(INDEX('Milestone Tracker – MENA'!$F:$F,249)),"",INDEX('Milestone Tracker – MENA'!$F:$F,249))</f>
        <v/>
      </c>
      <c r="G504" t="e">
        <f>IF(ISBLANK(INDEX('Milestone Tracker – MENA'!#REF!,249)),"",INDEX('Milestone Tracker – MENA'!#REF!,249))</f>
        <v>#REF!</v>
      </c>
      <c r="H504" t="str">
        <f>IF(ISBLANK(INDEX('Milestone Tracker – MENA'!$G:$G,249)),"",INDEX('Milestone Tracker – MENA'!$G:$G,249))</f>
        <v/>
      </c>
      <c r="I504" t="str">
        <f>IF(ISBLANK(INDEX('Milestone Tracker – MENA'!$H:$H,249)),"",INDEX('Milestone Tracker – MENA'!$H:$H,249))</f>
        <v/>
      </c>
      <c r="J504" t="e">
        <f>IF(ISBLANK(INDEX('Milestone Tracker – MENA'!#REF!,249)),"",INDEX('Milestone Tracker – MENA'!#REF!,249))</f>
        <v>#REF!</v>
      </c>
      <c r="K504">
        <f t="shared" si="14"/>
        <v>0</v>
      </c>
      <c r="L504">
        <f t="shared" si="15"/>
        <v>0</v>
      </c>
    </row>
    <row r="505" spans="1:12" x14ac:dyDescent="0.35">
      <c r="A505">
        <v>250</v>
      </c>
      <c r="B505">
        <f>IF(ISBLANK(INDEX('Milestone Tracker – MENA'!$B:$B,250)),B504,INDEX('Milestone Tracker – MENA'!$B:$B,250))</f>
        <v>0</v>
      </c>
      <c r="C505">
        <f>IF(ISBLANK(INDEX('Milestone Tracker – MENA'!$C:$C,250)),C504,INDEX('Milestone Tracker – MENA'!$C:$C,250))</f>
        <v>0</v>
      </c>
      <c r="D505">
        <f>IF(ISBLANK(INDEX('Milestone Tracker – MENA'!$D:$D,250)),D504,INDEX('Milestone Tracker – MENA'!$D:$D,250))</f>
        <v>0</v>
      </c>
      <c r="E505" t="str">
        <f>IF(ISBLANK(INDEX('Milestone Tracker – MENA'!$E:$E,250)),"",INDEX('Milestone Tracker – MENA'!$E:$E,250))</f>
        <v/>
      </c>
      <c r="F505" t="str">
        <f>IF(ISBLANK(INDEX('Milestone Tracker – MENA'!$F:$F,250)),"",INDEX('Milestone Tracker – MENA'!$F:$F,250))</f>
        <v/>
      </c>
      <c r="G505" t="e">
        <f>IF(ISBLANK(INDEX('Milestone Tracker – MENA'!#REF!,250)),"",INDEX('Milestone Tracker – MENA'!#REF!,250))</f>
        <v>#REF!</v>
      </c>
      <c r="H505" t="str">
        <f>IF(ISBLANK(INDEX('Milestone Tracker – MENA'!$G:$G,250)),"",INDEX('Milestone Tracker – MENA'!$G:$G,250))</f>
        <v/>
      </c>
      <c r="I505" t="str">
        <f>IF(ISBLANK(INDEX('Milestone Tracker – MENA'!$H:$H,250)),"",INDEX('Milestone Tracker – MENA'!$H:$H,250))</f>
        <v/>
      </c>
      <c r="J505" t="e">
        <f>IF(ISBLANK(INDEX('Milestone Tracker – MENA'!#REF!,250)),"",INDEX('Milestone Tracker – MENA'!#REF!,250))</f>
        <v>#REF!</v>
      </c>
      <c r="K505">
        <f t="shared" si="14"/>
        <v>0</v>
      </c>
      <c r="L505">
        <f t="shared" si="15"/>
        <v>0</v>
      </c>
    </row>
    <row r="506" spans="1:12" x14ac:dyDescent="0.35">
      <c r="A506">
        <v>251</v>
      </c>
      <c r="B506">
        <f>IF(ISBLANK(INDEX('Milestone Tracker – MENA'!$B:$B,251)),B505,INDEX('Milestone Tracker – MENA'!$B:$B,251))</f>
        <v>0</v>
      </c>
      <c r="C506">
        <f>IF(ISBLANK(INDEX('Milestone Tracker – MENA'!$C:$C,251)),C505,INDEX('Milestone Tracker – MENA'!$C:$C,251))</f>
        <v>0</v>
      </c>
      <c r="D506">
        <f>IF(ISBLANK(INDEX('Milestone Tracker – MENA'!$D:$D,251)),D505,INDEX('Milestone Tracker – MENA'!$D:$D,251))</f>
        <v>0</v>
      </c>
      <c r="E506" t="str">
        <f>IF(ISBLANK(INDEX('Milestone Tracker – MENA'!$E:$E,251)),"",INDEX('Milestone Tracker – MENA'!$E:$E,251))</f>
        <v/>
      </c>
      <c r="F506" t="str">
        <f>IF(ISBLANK(INDEX('Milestone Tracker – MENA'!$F:$F,251)),"",INDEX('Milestone Tracker – MENA'!$F:$F,251))</f>
        <v/>
      </c>
      <c r="G506" t="e">
        <f>IF(ISBLANK(INDEX('Milestone Tracker – MENA'!#REF!,251)),"",INDEX('Milestone Tracker – MENA'!#REF!,251))</f>
        <v>#REF!</v>
      </c>
      <c r="H506" t="str">
        <f>IF(ISBLANK(INDEX('Milestone Tracker – MENA'!$G:$G,251)),"",INDEX('Milestone Tracker – MENA'!$G:$G,251))</f>
        <v/>
      </c>
      <c r="I506" t="str">
        <f>IF(ISBLANK(INDEX('Milestone Tracker – MENA'!$H:$H,251)),"",INDEX('Milestone Tracker – MENA'!$H:$H,251))</f>
        <v/>
      </c>
      <c r="J506" t="e">
        <f>IF(ISBLANK(INDEX('Milestone Tracker – MENA'!#REF!,251)),"",INDEX('Milestone Tracker – MENA'!#REF!,251))</f>
        <v>#REF!</v>
      </c>
      <c r="K506">
        <f t="shared" si="14"/>
        <v>0</v>
      </c>
      <c r="L506">
        <f t="shared" si="15"/>
        <v>0</v>
      </c>
    </row>
    <row r="507" spans="1:12" x14ac:dyDescent="0.35">
      <c r="A507">
        <v>252</v>
      </c>
      <c r="B507">
        <f>IF(ISBLANK(INDEX('Milestone Tracker – MENA'!$B:$B,252)),B506,INDEX('Milestone Tracker – MENA'!$B:$B,252))</f>
        <v>0</v>
      </c>
      <c r="C507">
        <f>IF(ISBLANK(INDEX('Milestone Tracker – MENA'!$C:$C,252)),C506,INDEX('Milestone Tracker – MENA'!$C:$C,252))</f>
        <v>0</v>
      </c>
      <c r="D507">
        <f>IF(ISBLANK(INDEX('Milestone Tracker – MENA'!$D:$D,252)),D506,INDEX('Milestone Tracker – MENA'!$D:$D,252))</f>
        <v>0</v>
      </c>
      <c r="E507" t="str">
        <f>IF(ISBLANK(INDEX('Milestone Tracker – MENA'!$E:$E,252)),"",INDEX('Milestone Tracker – MENA'!$E:$E,252))</f>
        <v/>
      </c>
      <c r="F507" t="str">
        <f>IF(ISBLANK(INDEX('Milestone Tracker – MENA'!$F:$F,252)),"",INDEX('Milestone Tracker – MENA'!$F:$F,252))</f>
        <v/>
      </c>
      <c r="G507" t="e">
        <f>IF(ISBLANK(INDEX('Milestone Tracker – MENA'!#REF!,252)),"",INDEX('Milestone Tracker – MENA'!#REF!,252))</f>
        <v>#REF!</v>
      </c>
      <c r="H507" t="str">
        <f>IF(ISBLANK(INDEX('Milestone Tracker – MENA'!$G:$G,252)),"",INDEX('Milestone Tracker – MENA'!$G:$G,252))</f>
        <v/>
      </c>
      <c r="I507" t="str">
        <f>IF(ISBLANK(INDEX('Milestone Tracker – MENA'!$H:$H,252)),"",INDEX('Milestone Tracker – MENA'!$H:$H,252))</f>
        <v/>
      </c>
      <c r="J507" t="e">
        <f>IF(ISBLANK(INDEX('Milestone Tracker – MENA'!#REF!,252)),"",INDEX('Milestone Tracker – MENA'!#REF!,252))</f>
        <v>#REF!</v>
      </c>
      <c r="K507">
        <f t="shared" si="14"/>
        <v>0</v>
      </c>
      <c r="L507">
        <f t="shared" si="15"/>
        <v>0</v>
      </c>
    </row>
    <row r="508" spans="1:12" x14ac:dyDescent="0.35">
      <c r="A508">
        <v>253</v>
      </c>
      <c r="B508">
        <f>IF(ISBLANK(INDEX('Milestone Tracker – MENA'!$B:$B,253)),B507,INDEX('Milestone Tracker – MENA'!$B:$B,253))</f>
        <v>0</v>
      </c>
      <c r="C508">
        <f>IF(ISBLANK(INDEX('Milestone Tracker – MENA'!$C:$C,253)),C507,INDEX('Milestone Tracker – MENA'!$C:$C,253))</f>
        <v>0</v>
      </c>
      <c r="D508">
        <f>IF(ISBLANK(INDEX('Milestone Tracker – MENA'!$D:$D,253)),D507,INDEX('Milestone Tracker – MENA'!$D:$D,253))</f>
        <v>0</v>
      </c>
      <c r="E508" t="str">
        <f>IF(ISBLANK(INDEX('Milestone Tracker – MENA'!$E:$E,253)),"",INDEX('Milestone Tracker – MENA'!$E:$E,253))</f>
        <v/>
      </c>
      <c r="F508" t="str">
        <f>IF(ISBLANK(INDEX('Milestone Tracker – MENA'!$F:$F,253)),"",INDEX('Milestone Tracker – MENA'!$F:$F,253))</f>
        <v/>
      </c>
      <c r="G508" t="e">
        <f>IF(ISBLANK(INDEX('Milestone Tracker – MENA'!#REF!,253)),"",INDEX('Milestone Tracker – MENA'!#REF!,253))</f>
        <v>#REF!</v>
      </c>
      <c r="H508" t="str">
        <f>IF(ISBLANK(INDEX('Milestone Tracker – MENA'!$G:$G,253)),"",INDEX('Milestone Tracker – MENA'!$G:$G,253))</f>
        <v/>
      </c>
      <c r="I508" t="str">
        <f>IF(ISBLANK(INDEX('Milestone Tracker – MENA'!$H:$H,253)),"",INDEX('Milestone Tracker – MENA'!$H:$H,253))</f>
        <v/>
      </c>
      <c r="J508" t="e">
        <f>IF(ISBLANK(INDEX('Milestone Tracker – MENA'!#REF!,253)),"",INDEX('Milestone Tracker – MENA'!#REF!,253))</f>
        <v>#REF!</v>
      </c>
      <c r="K508">
        <f t="shared" si="14"/>
        <v>0</v>
      </c>
      <c r="L508">
        <f t="shared" si="15"/>
        <v>0</v>
      </c>
    </row>
    <row r="509" spans="1:12" x14ac:dyDescent="0.35">
      <c r="A509">
        <v>254</v>
      </c>
      <c r="B509">
        <f>IF(ISBLANK(INDEX('Milestone Tracker – MENA'!$B:$B,254)),B508,INDEX('Milestone Tracker – MENA'!$B:$B,254))</f>
        <v>0</v>
      </c>
      <c r="C509">
        <f>IF(ISBLANK(INDEX('Milestone Tracker – MENA'!$C:$C,254)),C508,INDEX('Milestone Tracker – MENA'!$C:$C,254))</f>
        <v>0</v>
      </c>
      <c r="D509">
        <f>IF(ISBLANK(INDEX('Milestone Tracker – MENA'!$D:$D,254)),D508,INDEX('Milestone Tracker – MENA'!$D:$D,254))</f>
        <v>0</v>
      </c>
      <c r="E509" t="str">
        <f>IF(ISBLANK(INDEX('Milestone Tracker – MENA'!$E:$E,254)),"",INDEX('Milestone Tracker – MENA'!$E:$E,254))</f>
        <v/>
      </c>
      <c r="F509" t="str">
        <f>IF(ISBLANK(INDEX('Milestone Tracker – MENA'!$F:$F,254)),"",INDEX('Milestone Tracker – MENA'!$F:$F,254))</f>
        <v/>
      </c>
      <c r="G509" t="e">
        <f>IF(ISBLANK(INDEX('Milestone Tracker – MENA'!#REF!,254)),"",INDEX('Milestone Tracker – MENA'!#REF!,254))</f>
        <v>#REF!</v>
      </c>
      <c r="H509" t="str">
        <f>IF(ISBLANK(INDEX('Milestone Tracker – MENA'!$G:$G,254)),"",INDEX('Milestone Tracker – MENA'!$G:$G,254))</f>
        <v/>
      </c>
      <c r="I509" t="str">
        <f>IF(ISBLANK(INDEX('Milestone Tracker – MENA'!$H:$H,254)),"",INDEX('Milestone Tracker – MENA'!$H:$H,254))</f>
        <v/>
      </c>
      <c r="J509" t="e">
        <f>IF(ISBLANK(INDEX('Milestone Tracker – MENA'!#REF!,254)),"",INDEX('Milestone Tracker – MENA'!#REF!,254))</f>
        <v>#REF!</v>
      </c>
      <c r="K509">
        <f t="shared" si="14"/>
        <v>0</v>
      </c>
      <c r="L509">
        <f t="shared" si="15"/>
        <v>0</v>
      </c>
    </row>
    <row r="510" spans="1:12" x14ac:dyDescent="0.35">
      <c r="A510">
        <v>255</v>
      </c>
      <c r="B510">
        <f>IF(ISBLANK(INDEX('Milestone Tracker – MENA'!$B:$B,255)),B509,INDEX('Milestone Tracker – MENA'!$B:$B,255))</f>
        <v>0</v>
      </c>
      <c r="C510">
        <f>IF(ISBLANK(INDEX('Milestone Tracker – MENA'!$C:$C,255)),C509,INDEX('Milestone Tracker – MENA'!$C:$C,255))</f>
        <v>0</v>
      </c>
      <c r="D510">
        <f>IF(ISBLANK(INDEX('Milestone Tracker – MENA'!$D:$D,255)),D509,INDEX('Milestone Tracker – MENA'!$D:$D,255))</f>
        <v>0</v>
      </c>
      <c r="E510" t="str">
        <f>IF(ISBLANK(INDEX('Milestone Tracker – MENA'!$E:$E,255)),"",INDEX('Milestone Tracker – MENA'!$E:$E,255))</f>
        <v/>
      </c>
      <c r="F510" t="str">
        <f>IF(ISBLANK(INDEX('Milestone Tracker – MENA'!$F:$F,255)),"",INDEX('Milestone Tracker – MENA'!$F:$F,255))</f>
        <v/>
      </c>
      <c r="G510" t="e">
        <f>IF(ISBLANK(INDEX('Milestone Tracker – MENA'!#REF!,255)),"",INDEX('Milestone Tracker – MENA'!#REF!,255))</f>
        <v>#REF!</v>
      </c>
      <c r="H510" t="str">
        <f>IF(ISBLANK(INDEX('Milestone Tracker – MENA'!$G:$G,255)),"",INDEX('Milestone Tracker – MENA'!$G:$G,255))</f>
        <v/>
      </c>
      <c r="I510" t="str">
        <f>IF(ISBLANK(INDEX('Milestone Tracker – MENA'!$H:$H,255)),"",INDEX('Milestone Tracker – MENA'!$H:$H,255))</f>
        <v/>
      </c>
      <c r="J510" t="e">
        <f>IF(ISBLANK(INDEX('Milestone Tracker – MENA'!#REF!,255)),"",INDEX('Milestone Tracker – MENA'!#REF!,255))</f>
        <v>#REF!</v>
      </c>
      <c r="K510">
        <f t="shared" si="14"/>
        <v>0</v>
      </c>
      <c r="L510">
        <f t="shared" si="15"/>
        <v>0</v>
      </c>
    </row>
    <row r="511" spans="1:12" x14ac:dyDescent="0.35">
      <c r="A511">
        <v>256</v>
      </c>
      <c r="B511">
        <f>IF(ISBLANK(INDEX('Milestone Tracker – MENA'!$B:$B,256)),B510,INDEX('Milestone Tracker – MENA'!$B:$B,256))</f>
        <v>0</v>
      </c>
      <c r="C511">
        <f>IF(ISBLANK(INDEX('Milestone Tracker – MENA'!$C:$C,256)),C510,INDEX('Milestone Tracker – MENA'!$C:$C,256))</f>
        <v>0</v>
      </c>
      <c r="D511">
        <f>IF(ISBLANK(INDEX('Milestone Tracker – MENA'!$D:$D,256)),D510,INDEX('Milestone Tracker – MENA'!$D:$D,256))</f>
        <v>0</v>
      </c>
      <c r="E511" t="str">
        <f>IF(ISBLANK(INDEX('Milestone Tracker – MENA'!$E:$E,256)),"",INDEX('Milestone Tracker – MENA'!$E:$E,256))</f>
        <v/>
      </c>
      <c r="F511" t="str">
        <f>IF(ISBLANK(INDEX('Milestone Tracker – MENA'!$F:$F,256)),"",INDEX('Milestone Tracker – MENA'!$F:$F,256))</f>
        <v/>
      </c>
      <c r="G511" t="e">
        <f>IF(ISBLANK(INDEX('Milestone Tracker – MENA'!#REF!,256)),"",INDEX('Milestone Tracker – MENA'!#REF!,256))</f>
        <v>#REF!</v>
      </c>
      <c r="H511" t="str">
        <f>IF(ISBLANK(INDEX('Milestone Tracker – MENA'!$G:$G,256)),"",INDEX('Milestone Tracker – MENA'!$G:$G,256))</f>
        <v/>
      </c>
      <c r="I511" t="str">
        <f>IF(ISBLANK(INDEX('Milestone Tracker – MENA'!$H:$H,256)),"",INDEX('Milestone Tracker – MENA'!$H:$H,256))</f>
        <v/>
      </c>
      <c r="J511" t="e">
        <f>IF(ISBLANK(INDEX('Milestone Tracker – MENA'!#REF!,256)),"",INDEX('Milestone Tracker – MENA'!#REF!,256))</f>
        <v>#REF!</v>
      </c>
      <c r="K511">
        <f t="shared" si="14"/>
        <v>0</v>
      </c>
      <c r="L511">
        <f t="shared" si="15"/>
        <v>0</v>
      </c>
    </row>
    <row r="512" spans="1:12" x14ac:dyDescent="0.35">
      <c r="A512">
        <v>257</v>
      </c>
      <c r="B512">
        <f>IF(ISBLANK(INDEX('Milestone Tracker – MENA'!$B:$B,257)),B511,INDEX('Milestone Tracker – MENA'!$B:$B,257))</f>
        <v>0</v>
      </c>
      <c r="C512">
        <f>IF(ISBLANK(INDEX('Milestone Tracker – MENA'!$C:$C,257)),C511,INDEX('Milestone Tracker – MENA'!$C:$C,257))</f>
        <v>0</v>
      </c>
      <c r="D512">
        <f>IF(ISBLANK(INDEX('Milestone Tracker – MENA'!$D:$D,257)),D511,INDEX('Milestone Tracker – MENA'!$D:$D,257))</f>
        <v>0</v>
      </c>
      <c r="E512" t="str">
        <f>IF(ISBLANK(INDEX('Milestone Tracker – MENA'!$E:$E,257)),"",INDEX('Milestone Tracker – MENA'!$E:$E,257))</f>
        <v/>
      </c>
      <c r="F512" t="str">
        <f>IF(ISBLANK(INDEX('Milestone Tracker – MENA'!$F:$F,257)),"",INDEX('Milestone Tracker – MENA'!$F:$F,257))</f>
        <v/>
      </c>
      <c r="G512" t="e">
        <f>IF(ISBLANK(INDEX('Milestone Tracker – MENA'!#REF!,257)),"",INDEX('Milestone Tracker – MENA'!#REF!,257))</f>
        <v>#REF!</v>
      </c>
      <c r="H512" t="str">
        <f>IF(ISBLANK(INDEX('Milestone Tracker – MENA'!$G:$G,257)),"",INDEX('Milestone Tracker – MENA'!$G:$G,257))</f>
        <v/>
      </c>
      <c r="I512" t="str">
        <f>IF(ISBLANK(INDEX('Milestone Tracker – MENA'!$H:$H,257)),"",INDEX('Milestone Tracker – MENA'!$H:$H,257))</f>
        <v/>
      </c>
      <c r="J512" t="e">
        <f>IF(ISBLANK(INDEX('Milestone Tracker – MENA'!#REF!,257)),"",INDEX('Milestone Tracker – MENA'!#REF!,257))</f>
        <v>#REF!</v>
      </c>
      <c r="K512">
        <f t="shared" si="14"/>
        <v>0</v>
      </c>
      <c r="L512">
        <f t="shared" si="15"/>
        <v>0</v>
      </c>
    </row>
    <row r="513" spans="1:12" x14ac:dyDescent="0.35">
      <c r="A513">
        <v>258</v>
      </c>
      <c r="B513">
        <f>IF(ISBLANK(INDEX('Milestone Tracker – MENA'!$B:$B,258)),B512,INDEX('Milestone Tracker – MENA'!$B:$B,258))</f>
        <v>0</v>
      </c>
      <c r="C513">
        <f>IF(ISBLANK(INDEX('Milestone Tracker – MENA'!$C:$C,258)),C512,INDEX('Milestone Tracker – MENA'!$C:$C,258))</f>
        <v>0</v>
      </c>
      <c r="D513">
        <f>IF(ISBLANK(INDEX('Milestone Tracker – MENA'!$D:$D,258)),D512,INDEX('Milestone Tracker – MENA'!$D:$D,258))</f>
        <v>0</v>
      </c>
      <c r="E513" t="str">
        <f>IF(ISBLANK(INDEX('Milestone Tracker – MENA'!$E:$E,258)),"",INDEX('Milestone Tracker – MENA'!$E:$E,258))</f>
        <v/>
      </c>
      <c r="F513" t="str">
        <f>IF(ISBLANK(INDEX('Milestone Tracker – MENA'!$F:$F,258)),"",INDEX('Milestone Tracker – MENA'!$F:$F,258))</f>
        <v/>
      </c>
      <c r="G513" t="e">
        <f>IF(ISBLANK(INDEX('Milestone Tracker – MENA'!#REF!,258)),"",INDEX('Milestone Tracker – MENA'!#REF!,258))</f>
        <v>#REF!</v>
      </c>
      <c r="H513" t="str">
        <f>IF(ISBLANK(INDEX('Milestone Tracker – MENA'!$G:$G,258)),"",INDEX('Milestone Tracker – MENA'!$G:$G,258))</f>
        <v/>
      </c>
      <c r="I513" t="str">
        <f>IF(ISBLANK(INDEX('Milestone Tracker – MENA'!$H:$H,258)),"",INDEX('Milestone Tracker – MENA'!$H:$H,258))</f>
        <v/>
      </c>
      <c r="J513" t="e">
        <f>IF(ISBLANK(INDEX('Milestone Tracker – MENA'!#REF!,258)),"",INDEX('Milestone Tracker – MENA'!#REF!,258))</f>
        <v>#REF!</v>
      </c>
      <c r="K513">
        <f t="shared" si="14"/>
        <v>0</v>
      </c>
      <c r="L513">
        <f t="shared" si="15"/>
        <v>0</v>
      </c>
    </row>
    <row r="514" spans="1:12" x14ac:dyDescent="0.35">
      <c r="A514">
        <v>259</v>
      </c>
      <c r="B514">
        <f>IF(ISBLANK(INDEX('Milestone Tracker – MENA'!$B:$B,259)),B513,INDEX('Milestone Tracker – MENA'!$B:$B,259))</f>
        <v>0</v>
      </c>
      <c r="C514">
        <f>IF(ISBLANK(INDEX('Milestone Tracker – MENA'!$C:$C,259)),C513,INDEX('Milestone Tracker – MENA'!$C:$C,259))</f>
        <v>0</v>
      </c>
      <c r="D514">
        <f>IF(ISBLANK(INDEX('Milestone Tracker – MENA'!$D:$D,259)),D513,INDEX('Milestone Tracker – MENA'!$D:$D,259))</f>
        <v>0</v>
      </c>
      <c r="E514" t="str">
        <f>IF(ISBLANK(INDEX('Milestone Tracker – MENA'!$E:$E,259)),"",INDEX('Milestone Tracker – MENA'!$E:$E,259))</f>
        <v/>
      </c>
      <c r="F514" t="str">
        <f>IF(ISBLANK(INDEX('Milestone Tracker – MENA'!$F:$F,259)),"",INDEX('Milestone Tracker – MENA'!$F:$F,259))</f>
        <v/>
      </c>
      <c r="G514" t="e">
        <f>IF(ISBLANK(INDEX('Milestone Tracker – MENA'!#REF!,259)),"",INDEX('Milestone Tracker – MENA'!#REF!,259))</f>
        <v>#REF!</v>
      </c>
      <c r="H514" t="str">
        <f>IF(ISBLANK(INDEX('Milestone Tracker – MENA'!$G:$G,259)),"",INDEX('Milestone Tracker – MENA'!$G:$G,259))</f>
        <v/>
      </c>
      <c r="I514" t="str">
        <f>IF(ISBLANK(INDEX('Milestone Tracker – MENA'!$H:$H,259)),"",INDEX('Milestone Tracker – MENA'!$H:$H,259))</f>
        <v/>
      </c>
      <c r="J514" t="e">
        <f>IF(ISBLANK(INDEX('Milestone Tracker – MENA'!#REF!,259)),"",INDEX('Milestone Tracker – MENA'!#REF!,259))</f>
        <v>#REF!</v>
      </c>
      <c r="K514">
        <f t="shared" si="14"/>
        <v>0</v>
      </c>
      <c r="L514">
        <f t="shared" ref="L514:L515" si="16">L513+K514</f>
        <v>0</v>
      </c>
    </row>
    <row r="515" spans="1:12" x14ac:dyDescent="0.35">
      <c r="A515">
        <v>260</v>
      </c>
      <c r="B515">
        <f>IF(ISBLANK(INDEX('Milestone Tracker – MENA'!$B:$B,260)),B514,INDEX('Milestone Tracker – MENA'!$B:$B,260))</f>
        <v>0</v>
      </c>
      <c r="C515">
        <f>IF(ISBLANK(INDEX('Milestone Tracker – MENA'!$C:$C,260)),C514,INDEX('Milestone Tracker – MENA'!$C:$C,260))</f>
        <v>0</v>
      </c>
      <c r="D515">
        <f>IF(ISBLANK(INDEX('Milestone Tracker – MENA'!$D:$D,260)),D514,INDEX('Milestone Tracker – MENA'!$D:$D,260))</f>
        <v>0</v>
      </c>
      <c r="E515" t="str">
        <f>IF(ISBLANK(INDEX('Milestone Tracker – MENA'!$E:$E,260)),"",INDEX('Milestone Tracker – MENA'!$E:$E,260))</f>
        <v/>
      </c>
      <c r="F515" t="str">
        <f>IF(ISBLANK(INDEX('Milestone Tracker – MENA'!$F:$F,260)),"",INDEX('Milestone Tracker – MENA'!$F:$F,260))</f>
        <v/>
      </c>
      <c r="G515" t="e">
        <f>IF(ISBLANK(INDEX('Milestone Tracker – MENA'!#REF!,260)),"",INDEX('Milestone Tracker – MENA'!#REF!,260))</f>
        <v>#REF!</v>
      </c>
      <c r="H515" t="str">
        <f>IF(ISBLANK(INDEX('Milestone Tracker – MENA'!$G:$G,260)),"",INDEX('Milestone Tracker – MENA'!$G:$G,260))</f>
        <v/>
      </c>
      <c r="I515" t="str">
        <f>IF(ISBLANK(INDEX('Milestone Tracker – MENA'!$H:$H,260)),"",INDEX('Milestone Tracker – MENA'!$H:$H,260))</f>
        <v/>
      </c>
      <c r="J515" t="e">
        <f>IF(ISBLANK(INDEX('Milestone Tracker – MENA'!#REF!,260)),"",INDEX('Milestone Tracker – MENA'!#REF!,260))</f>
        <v>#REF!</v>
      </c>
      <c r="K515">
        <f t="shared" si="14"/>
        <v>0</v>
      </c>
      <c r="L515">
        <f t="shared" si="16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f41bcb5-c330-4cbb-8eba-49c9dbaaa5bd}" enabled="1" method="Standar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Milestone Tracker – IHP</vt:lpstr>
      <vt:lpstr>Milestone Tracker – MENA</vt:lpstr>
      <vt:lpstr>Payment Engine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Sukumaran, Sujith</dc:creator>
  <cp:keywords/>
  <dc:description/>
  <cp:lastModifiedBy>Abhishek Sonkar</cp:lastModifiedBy>
  <cp:revision>0</cp:revision>
  <dcterms:created xsi:type="dcterms:W3CDTF">2026-08-17T13:48:48Z</dcterms:created>
  <dcterms:modified xsi:type="dcterms:W3CDTF">2026-09-06T05:22:57Z</dcterms:modified>
  <cp:category/>
  <cp:contentStatus/>
</cp:coreProperties>
</file>